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C:\Dev\Evident_Challenge_2023\QuestionnaireCreation\sources\challengepart2\correction\"/>
    </mc:Choice>
  </mc:AlternateContent>
  <xr:revisionPtr revIDLastSave="0" documentId="13_ncr:1_{E69E2CB6-6452-4756-A610-F277857CCEAF}" xr6:coauthVersionLast="47" xr6:coauthVersionMax="47" xr10:uidLastSave="{00000000-0000-0000-0000-000000000000}"/>
  <bookViews>
    <workbookView xWindow="-25320" yWindow="9030" windowWidth="25440" windowHeight="15270" xr2:uid="{2E218A8B-385F-482A-AC8F-E77FAE6EFEC1}"/>
  </bookViews>
  <sheets>
    <sheet name="GrilleCorrection_CorrectionGrid" sheetId="1" r:id="rId1"/>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0" i="1" l="1"/>
  <c r="L59" i="1"/>
  <c r="M38" i="1" a="1"/>
  <c r="M40" i="1" a="1"/>
  <c r="M59" i="1" a="1"/>
  <c r="M38" i="1" l="1"/>
  <c r="M40" i="1"/>
  <c r="M59" i="1"/>
  <c r="L30" i="1"/>
  <c r="L31" i="1"/>
  <c r="L32" i="1"/>
  <c r="L38" i="1"/>
  <c r="L57" i="1"/>
  <c r="L39" i="1"/>
  <c r="L58" i="1"/>
  <c r="L56" i="1"/>
  <c r="L41" i="1"/>
  <c r="L42" i="1"/>
  <c r="L43" i="1"/>
  <c r="L44" i="1"/>
  <c r="L52" i="1"/>
  <c r="L53" i="1"/>
  <c r="L54" i="1"/>
  <c r="L55" i="1"/>
  <c r="L51" i="1"/>
  <c r="L49" i="1"/>
  <c r="L48" i="1"/>
  <c r="L47" i="1"/>
  <c r="L46" i="1"/>
  <c r="M47" i="1" a="1"/>
  <c r="M52" i="1" a="1"/>
  <c r="M50" i="1" a="1"/>
  <c r="M58" i="1" a="1"/>
  <c r="M44" i="1" a="1"/>
  <c r="M46" i="1" a="1"/>
  <c r="M30" i="1" a="1"/>
  <c r="M45" i="1" a="1"/>
  <c r="M54" i="1" a="1"/>
  <c r="M43" i="1" a="1"/>
  <c r="M42" i="1" a="1"/>
  <c r="M55" i="1" a="1"/>
  <c r="M51" i="1" a="1"/>
  <c r="M32" i="1" a="1"/>
  <c r="M31" i="1" a="1"/>
  <c r="M39" i="1" a="1"/>
  <c r="M53" i="1" a="1"/>
  <c r="M49" i="1" a="1"/>
  <c r="M41" i="1" a="1"/>
  <c r="M48" i="1" a="1"/>
  <c r="M56" i="1" a="1"/>
  <c r="M57" i="1" a="1"/>
  <c r="M32" i="1" l="1"/>
  <c r="M31" i="1"/>
  <c r="M30" i="1"/>
  <c r="M57" i="1"/>
  <c r="M39" i="1"/>
  <c r="M58" i="1"/>
  <c r="M41" i="1"/>
  <c r="M56" i="1"/>
  <c r="M45" i="1"/>
  <c r="M43" i="1"/>
  <c r="M42" i="1"/>
  <c r="M44" i="1"/>
  <c r="M55" i="1"/>
  <c r="M51" i="1"/>
  <c r="M54" i="1"/>
  <c r="M53" i="1"/>
  <c r="M52" i="1"/>
  <c r="M50" i="1"/>
  <c r="M46" i="1"/>
  <c r="M47" i="1"/>
  <c r="M48" i="1"/>
  <c r="M49" i="1"/>
  <c r="L33" i="1" l="1"/>
  <c r="L34" i="1"/>
  <c r="L35" i="1"/>
  <c r="L36" i="1"/>
  <c r="L37" i="1"/>
  <c r="L45" i="1"/>
  <c r="L50" i="1"/>
  <c r="M35" i="1" a="1"/>
  <c r="M36" i="1" a="1"/>
  <c r="M34" i="1" a="1"/>
  <c r="M37" i="1" a="1"/>
  <c r="M33" i="1" a="1"/>
  <c r="M35" i="1" l="1"/>
  <c r="M36" i="1"/>
  <c r="M33" i="1"/>
  <c r="M37" i="1"/>
  <c r="M34" i="1"/>
  <c r="L62" i="1"/>
  <c r="M6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<sst xmlns="http://schemas.openxmlformats.org/spreadsheetml/2006/main" count="299" uniqueCount="59">
  <si>
    <t xml:space="preserve">Niveau de difficulté : </t>
  </si>
  <si>
    <t xml:space="preserve">Très facile : </t>
  </si>
  <si>
    <t xml:space="preserve">Facile : </t>
  </si>
  <si>
    <t xml:space="preserve">Moyen : </t>
  </si>
  <si>
    <t>Difficile :</t>
  </si>
  <si>
    <t xml:space="preserve">Respect du linter : </t>
  </si>
  <si>
    <t>Ceci est tout ou rien. C'est 10 points si c'est respecté, 0 sinon. Certaine questions ne corrigeront pas le linter, comme les questions à choix de réponses par exemple.</t>
  </si>
  <si>
    <t xml:space="preserve">Architecture 
(SOLID, Clean code) : </t>
  </si>
  <si>
    <t>Les évaluations possibles seront 0, 5, 10, 15, 20. Certaine questions ne corrigerons pas l'archiotecture, comme les questions à choix de réponse par exemple.</t>
  </si>
  <si>
    <t xml:space="preserve">Performance : </t>
  </si>
  <si>
    <t>Les évaluations possibles seront 0, 5, 10, 15, 20. Certaine questions ne corrigerons pas la performance, comme les questions à choix de réponse par exemple.</t>
  </si>
  <si>
    <t>Question #</t>
  </si>
  <si>
    <t>Difficulty level / Niveau de difficulté</t>
  </si>
  <si>
    <t xml:space="preserve">Respect linter/ 
Respect du linter
10 pts </t>
  </si>
  <si>
    <t>Architecture 
(SOLID, Clean code)
20 pts</t>
  </si>
  <si>
    <t xml:space="preserve">Automated correction / correction automatisée
5||20||50||85 pts </t>
  </si>
  <si>
    <t xml:space="preserve">Total pts per/par question </t>
  </si>
  <si>
    <t>Score</t>
  </si>
  <si>
    <t>Max Pts</t>
  </si>
  <si>
    <t>/Max Pts</t>
  </si>
  <si>
    <t>Easy</t>
  </si>
  <si>
    <t>To Fill</t>
  </si>
  <si>
    <t>/20</t>
  </si>
  <si>
    <t xml:space="preserve">Medium </t>
  </si>
  <si>
    <t>N/A</t>
  </si>
  <si>
    <t xml:space="preserve">N/A </t>
  </si>
  <si>
    <t>/5</t>
  </si>
  <si>
    <t>Very Easy</t>
  </si>
  <si>
    <t>/10</t>
  </si>
  <si>
    <t>/50</t>
  </si>
  <si>
    <t>Hard</t>
  </si>
  <si>
    <t>/85</t>
  </si>
  <si>
    <t>Total :</t>
  </si>
  <si>
    <t>Performance
5||20 pts</t>
  </si>
  <si>
    <t>Très Difficile :</t>
  </si>
  <si>
    <t>Very Hard</t>
  </si>
  <si>
    <t>/200</t>
  </si>
  <si>
    <r>
      <t>Il y a 5 niveau de difficulté ,</t>
    </r>
    <r>
      <rPr>
        <b/>
        <sz val="11"/>
        <color theme="1"/>
        <rFont val="Calibri"/>
        <family val="2"/>
        <scheme val="minor"/>
      </rPr>
      <t xml:space="preserve"> très facile, facile, moyen, difficile et très difficile pour chaque question ou sous-questions</t>
    </r>
    <r>
      <rPr>
        <sz val="11"/>
        <color theme="1"/>
        <rFont val="Calibri"/>
        <family val="2"/>
        <scheme val="minor"/>
      </rPr>
      <t>. Ce niveau de difficulté détermine le poids de la correction automatisée. La poids de chaque question de la note finale est déterminé selon le niveau de difficulté.   Aucun demi point ne sera utilisé.  Le score pourra être de 0 à 85 selon la correction automatisé.</t>
    </r>
  </si>
  <si>
    <t xml:space="preserve">Very Easy : </t>
  </si>
  <si>
    <t>5 points</t>
  </si>
  <si>
    <t>20 points</t>
  </si>
  <si>
    <t>50 points</t>
  </si>
  <si>
    <t>85 points</t>
  </si>
  <si>
    <t>200 points</t>
  </si>
  <si>
    <t xml:space="preserve">Easy : </t>
  </si>
  <si>
    <t xml:space="preserve">Medium : </t>
  </si>
  <si>
    <t>Hard :</t>
  </si>
  <si>
    <t>Very Hard :</t>
  </si>
  <si>
    <t>This is an all-or-nothing grading. It's 10 points if it's met, 0 otherwise. Certain questions, such as multiple-choice questions, will not check the linter.</t>
  </si>
  <si>
    <t>The possible evaluations will be 0, 5, 10, 15, 20. Certain questions, such as multiple-choice questions, will not check the architecture.</t>
  </si>
  <si>
    <t>The possible evaluations will be 0, 5, 10, 15, 20. Certain questions, such as multiple-choice questions, will not assess performance.</t>
  </si>
  <si>
    <t xml:space="preserve">Nom d'équipe : </t>
  </si>
  <si>
    <t>Nom coéquipier 1:</t>
  </si>
  <si>
    <t>Nom coéquipier 2:</t>
  </si>
  <si>
    <t>Nom coéquipier 3:</t>
  </si>
  <si>
    <t xml:space="preserve">Difficulty level : </t>
  </si>
  <si>
    <t xml:space="preserve">Linter respect : </t>
  </si>
  <si>
    <r>
      <t xml:space="preserve">There are 5 levels of difficulty: </t>
    </r>
    <r>
      <rPr>
        <b/>
        <sz val="11"/>
        <color theme="1"/>
        <rFont val="Calibri"/>
        <family val="2"/>
        <scheme val="minor"/>
      </rPr>
      <t>very easy, easy, medium, hard, and very hard for each question or sub-question.</t>
    </r>
    <r>
      <rPr>
        <sz val="11"/>
        <color theme="1"/>
        <rFont val="Calibri"/>
        <family val="2"/>
        <scheme val="minor"/>
      </rPr>
      <t xml:space="preserve"> This difficulty level determines the weight of the automated correction. The weight of each question towards the final score is determined based on the difficulty level. No half points will be used. The score can range from 0 to 85 based on the automated correction.</t>
    </r>
  </si>
  <si>
    <t>**Les questions en rouges seront corrigées dans la version 1 du défi, celle qui a eu lieu du 20 eu 27 mai 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</si>
</sst>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2"/>
      <color theme="1"/>
      <name val="Calibri"/>
      <family val="2"/>
      <scheme val="minor"/>
    </font>
    <font>
      <b/>
      <sz val="11"/>
      <color theme="1"/>
      <name val="Calibri"/>
      <family val="2"/>
      <scheme val="minor"/>
    </font>
    <font>
      <sz val="8"/>
      <name val="Calibri"/>
      <family val="2"/>
      <scheme val="minor"/>
    </font>
    <font>
      <sz val="11"/>
      <color rgb="FFFF0000"/>
      <name val="Calibri"/>
      <family val="2"/>
      <scheme val="minor"/>
    </font>
    <font>
      <b/>
      <sz val="11"/>
      <color rgb="FFFF0000"/>
      <name val="Calibri"/>
      <family val="2"/>
      <scheme val="minor"/>
    </font>
  </fonts>
  <fills count="10">
    <fill>
      <patternFill patternType="none"/>
    </fill>
    <fill>
      <patternFill patternType="gray125"/>
    </fill>
    <fill>
      <patternFill patternType="solid">
        <fgColor theme="2" tint="-9.9978637043366805E-2"/>
        <bgColor indexed="64"/>
      </patternFill>
    </fill>
    <fill>
      <patternFill patternType="solid">
        <fgColor rgb="FFFF99FF"/>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rgb="FFFFFF00"/>
        <bgColor indexed="64"/>
      </patternFill>
    </fill>
    <fill>
      <patternFill patternType="solid">
        <fgColor theme="1" tint="4.9989318521683403E-2"/>
        <bgColor indexed="64"/>
      </patternFill>
    </fill>
    <fill>
      <patternFill patternType="solid">
        <fgColor theme="1"/>
        <bgColor indexed="64"/>
      </patternFill>
    </fill>
  </fills>
  <borders count="103">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double">
        <color rgb="FF00B050"/>
      </right>
      <top style="double">
        <color rgb="FF00B050"/>
      </top>
      <bottom/>
      <diagonal/>
    </border>
    <border>
      <left style="medium">
        <color indexed="64"/>
      </left>
      <right style="double">
        <color rgb="FF00B050"/>
      </right>
      <top style="double">
        <color rgb="FF00B050"/>
      </top>
      <bottom style="double">
        <color rgb="FF00B050"/>
      </bottom>
      <diagonal/>
    </border>
    <border>
      <left style="medium">
        <color indexed="64"/>
      </left>
      <right style="double">
        <color rgb="FF00B050"/>
      </right>
      <top/>
      <bottom style="double">
        <color rgb="FF00B050"/>
      </bottom>
      <diagonal/>
    </border>
    <border>
      <left style="medium">
        <color indexed="64"/>
      </left>
      <right style="double">
        <color rgb="FF00B050"/>
      </right>
      <top/>
      <bottom/>
      <diagonal/>
    </border>
    <border>
      <left style="medium">
        <color indexed="64"/>
      </left>
      <right/>
      <top/>
      <bottom/>
      <diagonal/>
    </border>
    <border>
      <left style="thin">
        <color indexed="64"/>
      </left>
      <right style="medium">
        <color indexed="64"/>
      </right>
      <top style="thin">
        <color indexed="64"/>
      </top>
      <bottom/>
      <diagonal/>
    </border>
    <border>
      <left style="medium">
        <color indexed="64"/>
      </left>
      <right/>
      <top style="double">
        <color rgb="FF00B050"/>
      </top>
      <bottom style="double">
        <color rgb="FF00B050"/>
      </bottom>
      <diagonal/>
    </border>
    <border>
      <left style="medium">
        <color indexed="64"/>
      </left>
      <right/>
      <top/>
      <bottom style="double">
        <color rgb="FF00B050"/>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medium">
        <color indexed="64"/>
      </top>
      <bottom/>
      <diagonal/>
    </border>
    <border>
      <left style="medium">
        <color indexed="64"/>
      </left>
      <right/>
      <top style="thin">
        <color indexed="64"/>
      </top>
      <bottom/>
      <diagonal/>
    </border>
    <border>
      <left/>
      <right/>
      <top style="thin">
        <color indexed="64"/>
      </top>
      <bottom style="thin">
        <color indexed="64"/>
      </bottom>
      <diagonal/>
    </border>
    <border>
      <left/>
      <right style="double">
        <color rgb="FF00B050"/>
      </right>
      <top/>
      <bottom/>
      <diagonal/>
    </border>
    <border>
      <left/>
      <right style="double">
        <color rgb="FF00B050"/>
      </right>
      <top style="double">
        <color rgb="FF00B050"/>
      </top>
      <bottom style="double">
        <color rgb="FF00B050"/>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style="double">
        <color rgb="FF00B050"/>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diagonal/>
    </border>
    <border>
      <left/>
      <right style="medium">
        <color indexed="64"/>
      </right>
      <top/>
      <bottom/>
      <diagonal/>
    </border>
    <border>
      <left style="thin">
        <color rgb="FFFF0000"/>
      </left>
      <right style="medium">
        <color indexed="64"/>
      </right>
      <top style="thin">
        <color rgb="FFFF0000"/>
      </top>
      <bottom style="thin">
        <color indexed="64"/>
      </bottom>
      <diagonal/>
    </border>
    <border>
      <left style="medium">
        <color indexed="64"/>
      </left>
      <right/>
      <top style="thin">
        <color rgb="FFFF0000"/>
      </top>
      <bottom style="thin">
        <color indexed="64"/>
      </bottom>
      <diagonal/>
    </border>
    <border>
      <left style="medium">
        <color indexed="64"/>
      </left>
      <right style="thin">
        <color indexed="64"/>
      </right>
      <top style="thin">
        <color rgb="FFFF0000"/>
      </top>
      <bottom/>
      <diagonal/>
    </border>
    <border>
      <left style="thin">
        <color indexed="64"/>
      </left>
      <right style="medium">
        <color indexed="64"/>
      </right>
      <top style="thin">
        <color rgb="FFFF0000"/>
      </top>
      <bottom style="thin">
        <color indexed="64"/>
      </bottom>
      <diagonal/>
    </border>
    <border>
      <left/>
      <right style="thin">
        <color indexed="64"/>
      </right>
      <top style="thin">
        <color rgb="FFFF0000"/>
      </top>
      <bottom/>
      <diagonal/>
    </border>
    <border>
      <left style="medium">
        <color indexed="64"/>
      </left>
      <right style="thin">
        <color indexed="64"/>
      </right>
      <top style="thin">
        <color rgb="FFFF0000"/>
      </top>
      <bottom style="thin">
        <color indexed="64"/>
      </bottom>
      <diagonal/>
    </border>
    <border>
      <left style="medium">
        <color indexed="64"/>
      </left>
      <right style="double">
        <color rgb="FF00B050"/>
      </right>
      <top style="thin">
        <color rgb="FFFF0000"/>
      </top>
      <bottom style="double">
        <color rgb="FF00B050"/>
      </bottom>
      <diagonal/>
    </border>
    <border>
      <left style="thin">
        <color rgb="FFFF0000"/>
      </left>
      <right style="medium">
        <color indexed="64"/>
      </right>
      <top style="thin">
        <color indexed="64"/>
      </top>
      <bottom style="thin">
        <color indexed="64"/>
      </bottom>
      <diagonal/>
    </border>
    <border>
      <left style="thin">
        <color rgb="FFFF0000"/>
      </left>
      <right style="medium">
        <color indexed="64"/>
      </right>
      <top style="thin">
        <color indexed="64"/>
      </top>
      <bottom style="thin">
        <color rgb="FFFF0000"/>
      </bottom>
      <diagonal/>
    </border>
    <border>
      <left style="medium">
        <color indexed="64"/>
      </left>
      <right/>
      <top style="thin">
        <color indexed="64"/>
      </top>
      <bottom style="thin">
        <color rgb="FFFF0000"/>
      </bottom>
      <diagonal/>
    </border>
    <border>
      <left style="medium">
        <color indexed="64"/>
      </left>
      <right style="thin">
        <color indexed="64"/>
      </right>
      <top style="thin">
        <color indexed="64"/>
      </top>
      <bottom style="thin">
        <color rgb="FFFF0000"/>
      </bottom>
      <diagonal/>
    </border>
    <border>
      <left style="thin">
        <color indexed="64"/>
      </left>
      <right style="medium">
        <color indexed="64"/>
      </right>
      <top style="thin">
        <color indexed="64"/>
      </top>
      <bottom style="thin">
        <color rgb="FFFF0000"/>
      </bottom>
      <diagonal/>
    </border>
    <border>
      <left/>
      <right style="thin">
        <color indexed="64"/>
      </right>
      <top style="thin">
        <color indexed="64"/>
      </top>
      <bottom style="thin">
        <color rgb="FFFF0000"/>
      </bottom>
      <diagonal/>
    </border>
    <border>
      <left style="thin">
        <color indexed="64"/>
      </left>
      <right style="medium">
        <color indexed="64"/>
      </right>
      <top/>
      <bottom style="thin">
        <color rgb="FFFF0000"/>
      </bottom>
      <diagonal/>
    </border>
    <border>
      <left style="medium">
        <color indexed="64"/>
      </left>
      <right style="double">
        <color rgb="FF00B050"/>
      </right>
      <top style="double">
        <color rgb="FF00B050"/>
      </top>
      <bottom style="thin">
        <color rgb="FFFF0000"/>
      </bottom>
      <diagonal/>
    </border>
    <border>
      <left/>
      <right style="medium">
        <color indexed="64"/>
      </right>
      <top/>
      <bottom style="thin">
        <color rgb="FFFF0000"/>
      </bottom>
      <diagonal/>
    </border>
    <border>
      <left/>
      <right style="thin">
        <color indexed="64"/>
      </right>
      <top/>
      <bottom/>
      <diagonal/>
    </border>
    <border>
      <left style="medium">
        <color indexed="64"/>
      </left>
      <right style="thin">
        <color indexed="64"/>
      </right>
      <top/>
      <bottom style="double">
        <color rgb="FF00B050"/>
      </bottom>
      <diagonal/>
    </border>
    <border>
      <left/>
      <right style="thin">
        <color indexed="64"/>
      </right>
      <top style="thin">
        <color rgb="FFFF0000"/>
      </top>
      <bottom style="thin">
        <color indexed="64"/>
      </bottom>
      <diagonal/>
    </border>
    <border>
      <left style="thin">
        <color rgb="FFFF0000"/>
      </left>
      <right style="medium">
        <color indexed="64"/>
      </right>
      <top style="thin">
        <color indexed="64"/>
      </top>
      <bottom/>
      <diagonal/>
    </border>
    <border>
      <left/>
      <right style="medium">
        <color indexed="64"/>
      </right>
      <top style="thin">
        <color indexed="64"/>
      </top>
      <bottom style="thin">
        <color rgb="FFFF0000"/>
      </bottom>
      <diagonal/>
    </border>
    <border>
      <left style="medium">
        <color indexed="64"/>
      </left>
      <right/>
      <top style="double">
        <color rgb="FF00B050"/>
      </top>
      <bottom style="thin">
        <color rgb="FFFF0000"/>
      </bottom>
      <diagonal/>
    </border>
    <border>
      <left/>
      <right style="medium">
        <color indexed="64"/>
      </right>
      <top style="thin">
        <color indexed="64"/>
      </top>
      <bottom/>
      <diagonal/>
    </border>
    <border>
      <left style="medium">
        <color indexed="64"/>
      </left>
      <right/>
      <top style="double">
        <color rgb="FF00B050"/>
      </top>
      <bottom/>
      <diagonal/>
    </border>
    <border>
      <left style="thin">
        <color rgb="FFFF0000"/>
      </left>
      <right style="medium">
        <color indexed="64"/>
      </right>
      <top style="thin">
        <color rgb="FFFF0000"/>
      </top>
      <bottom style="thin">
        <color rgb="FFFF0000"/>
      </bottom>
      <diagonal/>
    </border>
    <border>
      <left style="medium">
        <color indexed="64"/>
      </left>
      <right/>
      <top style="thin">
        <color rgb="FFFF0000"/>
      </top>
      <bottom style="thin">
        <color rgb="FFFF0000"/>
      </bottom>
      <diagonal/>
    </border>
    <border>
      <left style="medium">
        <color indexed="64"/>
      </left>
      <right style="double">
        <color rgb="FF00B050"/>
      </right>
      <top style="thin">
        <color rgb="FFFF0000"/>
      </top>
      <bottom style="thin">
        <color rgb="FFFF0000"/>
      </bottom>
      <diagonal/>
    </border>
    <border>
      <left style="double">
        <color rgb="FF00B050"/>
      </left>
      <right style="medium">
        <color indexed="64"/>
      </right>
      <top style="thin">
        <color rgb="FFFF0000"/>
      </top>
      <bottom style="thin">
        <color rgb="FFFF0000"/>
      </bottom>
      <diagonal/>
    </border>
    <border>
      <left/>
      <right/>
      <top style="thin">
        <color rgb="FFFF0000"/>
      </top>
      <bottom style="thin">
        <color rgb="FFFF0000"/>
      </bottom>
      <diagonal/>
    </border>
    <border>
      <left/>
      <right style="medium">
        <color indexed="64"/>
      </right>
      <top style="thin">
        <color rgb="FFFF0000"/>
      </top>
      <bottom style="thin">
        <color rgb="FFFF0000"/>
      </bottom>
      <diagonal/>
    </border>
    <border>
      <left/>
      <right/>
      <top/>
      <bottom style="thin">
        <color indexed="64"/>
      </bottom>
      <diagonal/>
    </border>
    <border>
      <left/>
      <right/>
      <top style="thin">
        <color rgb="FFFF0000"/>
      </top>
      <bottom style="thin">
        <color indexed="64"/>
      </bottom>
      <diagonal/>
    </border>
    <border>
      <left/>
      <right/>
      <top/>
      <bottom style="thin">
        <color rgb="FFFF0000"/>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top/>
      <bottom style="thin">
        <color rgb="FFFF0000"/>
      </bottom>
      <diagonal/>
    </border>
    <border>
      <left style="thick">
        <color theme="1"/>
      </left>
      <right/>
      <top style="thick">
        <color theme="1"/>
      </top>
      <bottom style="medium">
        <color indexed="64"/>
      </bottom>
      <diagonal/>
    </border>
    <border>
      <left/>
      <right style="thick">
        <color theme="1"/>
      </right>
      <top style="thick">
        <color theme="1"/>
      </top>
      <bottom style="medium">
        <color indexed="64"/>
      </bottom>
      <diagonal/>
    </border>
    <border>
      <left style="thick">
        <color theme="1"/>
      </left>
      <right style="medium">
        <color indexed="64"/>
      </right>
      <top style="medium">
        <color indexed="64"/>
      </top>
      <bottom style="medium">
        <color indexed="64"/>
      </bottom>
      <diagonal/>
    </border>
    <border>
      <left/>
      <right style="thick">
        <color theme="1"/>
      </right>
      <top style="medium">
        <color indexed="64"/>
      </top>
      <bottom style="medium">
        <color indexed="64"/>
      </bottom>
      <diagonal/>
    </border>
    <border>
      <left style="thick">
        <color theme="1"/>
      </left>
      <right style="thin">
        <color indexed="64"/>
      </right>
      <top/>
      <bottom style="thin">
        <color indexed="64"/>
      </bottom>
      <diagonal/>
    </border>
    <border>
      <left style="thin">
        <color indexed="64"/>
      </left>
      <right style="thick">
        <color theme="1"/>
      </right>
      <top style="thin">
        <color indexed="64"/>
      </top>
      <bottom style="thin">
        <color indexed="64"/>
      </bottom>
      <diagonal/>
    </border>
    <border>
      <left style="thick">
        <color theme="1"/>
      </left>
      <right style="thin">
        <color indexed="64"/>
      </right>
      <top style="thin">
        <color indexed="64"/>
      </top>
      <bottom style="thin">
        <color indexed="64"/>
      </bottom>
      <diagonal/>
    </border>
    <border>
      <left style="thick">
        <color theme="1"/>
      </left>
      <right style="thin">
        <color indexed="64"/>
      </right>
      <top style="thin">
        <color indexed="64"/>
      </top>
      <bottom/>
      <diagonal/>
    </border>
    <border>
      <left style="thin">
        <color indexed="64"/>
      </left>
      <right style="thick">
        <color theme="1"/>
      </right>
      <top style="thin">
        <color indexed="64"/>
      </top>
      <bottom/>
      <diagonal/>
    </border>
    <border>
      <left style="thick">
        <color theme="1"/>
      </left>
      <right style="thin">
        <color indexed="64"/>
      </right>
      <top style="thin">
        <color rgb="FFFF0000"/>
      </top>
      <bottom style="thin">
        <color indexed="64"/>
      </bottom>
      <diagonal/>
    </border>
    <border>
      <left style="thin">
        <color indexed="64"/>
      </left>
      <right style="thick">
        <color theme="1"/>
      </right>
      <top style="thin">
        <color rgb="FFFF0000"/>
      </top>
      <bottom style="thin">
        <color indexed="64"/>
      </bottom>
      <diagonal/>
    </border>
    <border>
      <left style="thick">
        <color theme="1"/>
      </left>
      <right style="thin">
        <color indexed="64"/>
      </right>
      <top style="thin">
        <color indexed="64"/>
      </top>
      <bottom style="thin">
        <color rgb="FFFF0000"/>
      </bottom>
      <diagonal/>
    </border>
    <border>
      <left style="thin">
        <color indexed="64"/>
      </left>
      <right style="thick">
        <color theme="1"/>
      </right>
      <top style="thin">
        <color indexed="64"/>
      </top>
      <bottom style="thin">
        <color rgb="FFFF0000"/>
      </bottom>
      <diagonal/>
    </border>
    <border>
      <left style="thick">
        <color theme="1"/>
      </left>
      <right style="thin">
        <color indexed="64"/>
      </right>
      <top/>
      <bottom/>
      <diagonal/>
    </border>
    <border>
      <left style="thin">
        <color indexed="64"/>
      </left>
      <right style="thick">
        <color theme="1"/>
      </right>
      <top/>
      <bottom/>
      <diagonal/>
    </border>
    <border>
      <left style="thin">
        <color indexed="64"/>
      </left>
      <right style="thick">
        <color theme="1"/>
      </right>
      <top/>
      <bottom style="thin">
        <color indexed="64"/>
      </bottom>
      <diagonal/>
    </border>
    <border>
      <left style="thick">
        <color theme="1"/>
      </left>
      <right style="thin">
        <color indexed="64"/>
      </right>
      <top style="thin">
        <color rgb="FFFF0000"/>
      </top>
      <bottom style="thick">
        <color theme="1"/>
      </bottom>
      <diagonal/>
    </border>
    <border>
      <left style="thin">
        <color indexed="64"/>
      </left>
      <right style="thick">
        <color theme="1"/>
      </right>
      <top style="thin">
        <color rgb="FFFF0000"/>
      </top>
      <bottom style="thick">
        <color theme="1"/>
      </bottom>
      <diagonal/>
    </border>
    <border>
      <left style="thick">
        <color theme="1"/>
      </left>
      <right/>
      <top style="thick">
        <color theme="1"/>
      </top>
      <bottom/>
      <diagonal/>
    </border>
    <border>
      <left/>
      <right style="thick">
        <color theme="1"/>
      </right>
      <top style="thick">
        <color theme="1"/>
      </top>
      <bottom/>
      <diagonal/>
    </border>
    <border>
      <left style="thick">
        <color theme="1"/>
      </left>
      <right/>
      <top/>
      <bottom/>
      <diagonal/>
    </border>
    <border>
      <left/>
      <right style="thick">
        <color theme="1"/>
      </right>
      <top/>
      <bottom/>
      <diagonal/>
    </border>
    <border>
      <left style="thick">
        <color theme="1"/>
      </left>
      <right/>
      <top style="medium">
        <color indexed="64"/>
      </top>
      <bottom style="thick">
        <color theme="1"/>
      </bottom>
      <diagonal/>
    </border>
    <border>
      <left/>
      <right style="thick">
        <color theme="1"/>
      </right>
      <top style="medium">
        <color indexed="64"/>
      </top>
      <bottom style="thick">
        <color theme="1"/>
      </bottom>
      <diagonal/>
    </border>
  </borders>
  <cellStyleXfs count="1">
    <xf numFmtId="0" fontId="0" fillId="0" borderId="0"/>
  </cellStyleXfs>
  <cellXfs count="159">
    <xf numFmtId="0" fontId="0" fillId="0" borderId="0" xfId="0"/>
    <xf numFmtId="0" fontId="0" fillId="0" borderId="0" xfId="0" applyAlignment="1">
      <alignment horizontal="center"/>
    </xf>
    <xf numFmtId="0" fontId="0" fillId="0" borderId="0" xfId="0" applyAlignment="1">
      <alignment wrapText="1"/>
    </xf>
    <xf numFmtId="0" fontId="0" fillId="0" borderId="0" xfId="0" applyAlignment="1">
      <alignment horizontal="center" wrapText="1"/>
    </xf>
    <xf numFmtId="0" fontId="1" fillId="0" borderId="0" xfId="0" applyFont="1" applyAlignment="1">
      <alignment vertical="center" wrapText="1"/>
    </xf>
    <xf numFmtId="0" fontId="1" fillId="0" borderId="0" xfId="0" applyFont="1" applyAlignment="1">
      <alignment horizontal="center" vertical="center" wrapText="1"/>
    </xf>
    <xf numFmtId="0" fontId="0" fillId="0" borderId="0" xfId="0" applyAlignment="1">
      <alignment horizontal="left" wrapText="1"/>
    </xf>
    <xf numFmtId="0" fontId="2" fillId="3" borderId="0" xfId="0" applyFont="1" applyFill="1" applyAlignment="1">
      <alignment wrapText="1"/>
    </xf>
    <xf numFmtId="0" fontId="2" fillId="4" borderId="0" xfId="0" applyFont="1" applyFill="1" applyAlignment="1">
      <alignment wrapText="1"/>
    </xf>
    <xf numFmtId="0" fontId="2" fillId="5" borderId="0" xfId="0" applyFont="1" applyFill="1" applyAlignment="1">
      <alignment wrapText="1"/>
    </xf>
    <xf numFmtId="0" fontId="2" fillId="6" borderId="0" xfId="0" applyFont="1" applyFill="1" applyAlignment="1">
      <alignment wrapText="1"/>
    </xf>
    <xf numFmtId="0" fontId="2" fillId="0" borderId="0" xfId="0" applyFont="1" applyAlignment="1">
      <alignment wrapText="1"/>
    </xf>
    <xf numFmtId="0" fontId="0" fillId="2" borderId="5" xfId="0" applyFill="1" applyBorder="1" applyAlignment="1">
      <alignment horizontal="center" wrapText="1"/>
    </xf>
    <xf numFmtId="0" fontId="1" fillId="2" borderId="6"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0" fillId="0" borderId="7" xfId="0" applyBorder="1" applyAlignment="1">
      <alignment horizontal="center"/>
    </xf>
    <xf numFmtId="0" fontId="0" fillId="2" borderId="8" xfId="0" applyFill="1" applyBorder="1" applyAlignment="1">
      <alignment horizontal="center"/>
    </xf>
    <xf numFmtId="0" fontId="0" fillId="0" borderId="10" xfId="0" applyBorder="1" applyAlignment="1">
      <alignment horizontal="center"/>
    </xf>
    <xf numFmtId="0" fontId="0" fillId="2" borderId="11" xfId="0" applyFill="1" applyBorder="1" applyAlignment="1">
      <alignment horizontal="center"/>
    </xf>
    <xf numFmtId="0" fontId="0" fillId="0" borderId="2" xfId="0" applyBorder="1" applyAlignment="1">
      <alignment horizontal="center"/>
    </xf>
    <xf numFmtId="0" fontId="0" fillId="2" borderId="12" xfId="0" applyFill="1" applyBorder="1" applyAlignment="1">
      <alignment horizontal="center" wrapText="1"/>
    </xf>
    <xf numFmtId="0" fontId="0" fillId="0" borderId="13" xfId="0" applyBorder="1" applyAlignment="1">
      <alignment horizontal="center"/>
    </xf>
    <xf numFmtId="0" fontId="0" fillId="2" borderId="16" xfId="0" applyFill="1" applyBorder="1" applyAlignment="1">
      <alignment horizontal="center"/>
    </xf>
    <xf numFmtId="0" fontId="2" fillId="2" borderId="8" xfId="0" applyFont="1" applyFill="1" applyBorder="1" applyAlignment="1">
      <alignment horizontal="center"/>
    </xf>
    <xf numFmtId="0" fontId="1" fillId="0" borderId="3" xfId="0" applyFont="1" applyBorder="1" applyAlignment="1">
      <alignment horizontal="center" vertical="center" wrapText="1"/>
    </xf>
    <xf numFmtId="0" fontId="0" fillId="0" borderId="17" xfId="0" applyBorder="1" applyAlignment="1">
      <alignment horizontal="center"/>
    </xf>
    <xf numFmtId="0" fontId="2" fillId="2" borderId="14" xfId="0" applyFont="1" applyFill="1" applyBorder="1" applyAlignment="1">
      <alignment horizontal="center"/>
    </xf>
    <xf numFmtId="0" fontId="2" fillId="2" borderId="16" xfId="0" applyFont="1" applyFill="1" applyBorder="1" applyAlignment="1">
      <alignment horizontal="center"/>
    </xf>
    <xf numFmtId="0" fontId="0" fillId="7" borderId="18" xfId="0" applyFill="1" applyBorder="1" applyAlignment="1">
      <alignment horizontal="center"/>
    </xf>
    <xf numFmtId="0" fontId="0" fillId="7" borderId="19" xfId="0" applyFill="1" applyBorder="1" applyAlignment="1">
      <alignment horizontal="center"/>
    </xf>
    <xf numFmtId="0" fontId="0" fillId="7" borderId="20" xfId="0" applyFill="1" applyBorder="1" applyAlignment="1">
      <alignment horizontal="center"/>
    </xf>
    <xf numFmtId="0" fontId="0" fillId="7" borderId="21" xfId="0" applyFill="1" applyBorder="1" applyAlignment="1">
      <alignment horizontal="center"/>
    </xf>
    <xf numFmtId="0" fontId="0" fillId="2" borderId="23" xfId="0" applyFill="1" applyBorder="1" applyAlignment="1">
      <alignment horizontal="center"/>
    </xf>
    <xf numFmtId="0" fontId="0" fillId="7" borderId="25" xfId="0" applyFill="1" applyBorder="1" applyAlignment="1">
      <alignment horizontal="center"/>
    </xf>
    <xf numFmtId="0" fontId="1" fillId="0" borderId="1" xfId="0" applyFont="1" applyBorder="1" applyAlignment="1">
      <alignment horizontal="center" vertical="center" wrapText="1"/>
    </xf>
    <xf numFmtId="0" fontId="0" fillId="8" borderId="0" xfId="0" applyFill="1" applyAlignment="1">
      <alignment wrapText="1"/>
    </xf>
    <xf numFmtId="0" fontId="0" fillId="8" borderId="0" xfId="0" applyFill="1"/>
    <xf numFmtId="0" fontId="0" fillId="2" borderId="28" xfId="0" applyFill="1" applyBorder="1" applyAlignment="1">
      <alignment horizontal="center"/>
    </xf>
    <xf numFmtId="0" fontId="0" fillId="0" borderId="27" xfId="0" applyBorder="1" applyAlignment="1">
      <alignment horizontal="center"/>
    </xf>
    <xf numFmtId="0" fontId="0" fillId="0" borderId="29" xfId="0" applyBorder="1" applyAlignment="1">
      <alignment horizontal="center"/>
    </xf>
    <xf numFmtId="0" fontId="0" fillId="2" borderId="30" xfId="0" applyFill="1" applyBorder="1" applyAlignment="1">
      <alignment horizontal="center"/>
    </xf>
    <xf numFmtId="0" fontId="1" fillId="2" borderId="31" xfId="0" applyFont="1" applyFill="1" applyBorder="1" applyAlignment="1">
      <alignment horizontal="center" vertical="center" wrapText="1"/>
    </xf>
    <xf numFmtId="0" fontId="0" fillId="2" borderId="32" xfId="0" applyFill="1" applyBorder="1" applyAlignment="1">
      <alignment horizontal="center"/>
    </xf>
    <xf numFmtId="0" fontId="0" fillId="7" borderId="7" xfId="0" applyFill="1" applyBorder="1" applyAlignment="1">
      <alignment horizontal="center"/>
    </xf>
    <xf numFmtId="0" fontId="0" fillId="7" borderId="34" xfId="0" applyFill="1" applyBorder="1" applyAlignment="1">
      <alignment horizontal="center"/>
    </xf>
    <xf numFmtId="0" fontId="0" fillId="0" borderId="37" xfId="0" applyBorder="1" applyAlignment="1">
      <alignment horizontal="center"/>
    </xf>
    <xf numFmtId="0" fontId="1" fillId="0" borderId="15" xfId="0" applyFont="1" applyBorder="1" applyAlignment="1">
      <alignment horizontal="center" vertical="center" wrapText="1"/>
    </xf>
    <xf numFmtId="0" fontId="1" fillId="2" borderId="9" xfId="0" applyFont="1" applyFill="1" applyBorder="1" applyAlignment="1">
      <alignment horizontal="center" vertical="center" wrapText="1"/>
    </xf>
    <xf numFmtId="0" fontId="0" fillId="7" borderId="39" xfId="0" applyFill="1" applyBorder="1" applyAlignment="1">
      <alignment horizontal="center"/>
    </xf>
    <xf numFmtId="0" fontId="2" fillId="2" borderId="40" xfId="0" applyFont="1" applyFill="1" applyBorder="1" applyAlignment="1">
      <alignment horizontal="center"/>
    </xf>
    <xf numFmtId="0" fontId="0" fillId="2" borderId="41" xfId="0" applyFill="1" applyBorder="1" applyAlignment="1">
      <alignment horizontal="center"/>
    </xf>
    <xf numFmtId="0" fontId="0" fillId="2" borderId="6" xfId="0" applyFill="1" applyBorder="1" applyAlignment="1">
      <alignment horizontal="center" wrapText="1"/>
    </xf>
    <xf numFmtId="0" fontId="0" fillId="2" borderId="22" xfId="0" applyFill="1" applyBorder="1" applyAlignment="1">
      <alignment horizontal="center"/>
    </xf>
    <xf numFmtId="0" fontId="0" fillId="2" borderId="42" xfId="0" applyFill="1" applyBorder="1" applyAlignment="1">
      <alignment horizontal="center"/>
    </xf>
    <xf numFmtId="0" fontId="0" fillId="0" borderId="59" xfId="0" applyBorder="1" applyAlignment="1">
      <alignment horizontal="center"/>
    </xf>
    <xf numFmtId="0" fontId="0" fillId="7" borderId="60" xfId="0" applyFill="1" applyBorder="1" applyAlignment="1">
      <alignment horizontal="center"/>
    </xf>
    <xf numFmtId="0" fontId="2" fillId="2" borderId="65" xfId="0" applyFont="1" applyFill="1" applyBorder="1" applyAlignment="1">
      <alignment horizontal="center"/>
    </xf>
    <xf numFmtId="0" fontId="0" fillId="2" borderId="65" xfId="0" applyFill="1" applyBorder="1" applyAlignment="1">
      <alignment horizontal="center"/>
    </xf>
    <xf numFmtId="0" fontId="0" fillId="7" borderId="66" xfId="0" applyFill="1" applyBorder="1" applyAlignment="1">
      <alignment horizontal="center"/>
    </xf>
    <xf numFmtId="0" fontId="4" fillId="2" borderId="43" xfId="0" applyFont="1" applyFill="1" applyBorder="1" applyAlignment="1">
      <alignment horizontal="center" wrapText="1"/>
    </xf>
    <xf numFmtId="0" fontId="4" fillId="2" borderId="50" xfId="0" applyFont="1" applyFill="1" applyBorder="1" applyAlignment="1">
      <alignment horizontal="center" wrapText="1"/>
    </xf>
    <xf numFmtId="0" fontId="4" fillId="2" borderId="51" xfId="0" applyFont="1" applyFill="1" applyBorder="1" applyAlignment="1">
      <alignment horizontal="center" wrapText="1"/>
    </xf>
    <xf numFmtId="0" fontId="4" fillId="2" borderId="62" xfId="0" applyFont="1" applyFill="1" applyBorder="1" applyAlignment="1">
      <alignment horizontal="center" wrapText="1"/>
    </xf>
    <xf numFmtId="0" fontId="4" fillId="2" borderId="67" xfId="0" applyFont="1" applyFill="1" applyBorder="1" applyAlignment="1">
      <alignment horizontal="center" wrapText="1"/>
    </xf>
    <xf numFmtId="0" fontId="4" fillId="2" borderId="44" xfId="0" applyFont="1" applyFill="1" applyBorder="1" applyAlignment="1">
      <alignment horizontal="center"/>
    </xf>
    <xf numFmtId="0" fontId="4" fillId="0" borderId="45" xfId="0" applyFont="1" applyBorder="1" applyAlignment="1">
      <alignment horizontal="center"/>
    </xf>
    <xf numFmtId="0" fontId="4" fillId="2" borderId="46" xfId="0" applyFont="1" applyFill="1" applyBorder="1" applyAlignment="1">
      <alignment horizontal="center"/>
    </xf>
    <xf numFmtId="0" fontId="4" fillId="0" borderId="47" xfId="0" applyFont="1" applyBorder="1" applyAlignment="1">
      <alignment horizontal="center"/>
    </xf>
    <xf numFmtId="0" fontId="4" fillId="0" borderId="48" xfId="0" applyFont="1" applyBorder="1" applyAlignment="1">
      <alignment horizontal="center"/>
    </xf>
    <xf numFmtId="0" fontId="4" fillId="7" borderId="49" xfId="0" applyFont="1" applyFill="1" applyBorder="1" applyAlignment="1">
      <alignment horizontal="center"/>
    </xf>
    <xf numFmtId="0" fontId="4" fillId="2" borderId="30" xfId="0" applyFont="1" applyFill="1" applyBorder="1" applyAlignment="1">
      <alignment horizontal="center"/>
    </xf>
    <xf numFmtId="0" fontId="4" fillId="7" borderId="19" xfId="0" applyFont="1" applyFill="1" applyBorder="1" applyAlignment="1">
      <alignment horizontal="center"/>
    </xf>
    <xf numFmtId="0" fontId="5" fillId="2" borderId="14" xfId="0" applyFont="1" applyFill="1" applyBorder="1" applyAlignment="1">
      <alignment horizontal="center"/>
    </xf>
    <xf numFmtId="0" fontId="4" fillId="7" borderId="35" xfId="0" applyFont="1" applyFill="1" applyBorder="1" applyAlignment="1">
      <alignment horizontal="center"/>
    </xf>
    <xf numFmtId="0" fontId="5" fillId="2" borderId="16" xfId="0" applyFont="1" applyFill="1" applyBorder="1" applyAlignment="1">
      <alignment horizontal="center"/>
    </xf>
    <xf numFmtId="0" fontId="4" fillId="0" borderId="7" xfId="0" applyFont="1" applyBorder="1" applyAlignment="1">
      <alignment horizontal="center"/>
    </xf>
    <xf numFmtId="0" fontId="4" fillId="2" borderId="11" xfId="0" applyFont="1" applyFill="1" applyBorder="1" applyAlignment="1">
      <alignment horizontal="center"/>
    </xf>
    <xf numFmtId="0" fontId="4" fillId="2" borderId="16" xfId="0" applyFont="1" applyFill="1" applyBorder="1" applyAlignment="1">
      <alignment horizontal="center"/>
    </xf>
    <xf numFmtId="0" fontId="4" fillId="0" borderId="10" xfId="0" applyFont="1" applyBorder="1" applyAlignment="1">
      <alignment horizontal="center"/>
    </xf>
    <xf numFmtId="0" fontId="4" fillId="2" borderId="8" xfId="0" applyFont="1" applyFill="1" applyBorder="1" applyAlignment="1">
      <alignment horizontal="center"/>
    </xf>
    <xf numFmtId="0" fontId="4" fillId="0" borderId="36" xfId="0" applyFont="1" applyBorder="1" applyAlignment="1">
      <alignment horizontal="center"/>
    </xf>
    <xf numFmtId="0" fontId="4" fillId="7" borderId="21" xfId="0" applyFont="1" applyFill="1" applyBorder="1" applyAlignment="1">
      <alignment horizontal="center"/>
    </xf>
    <xf numFmtId="0" fontId="4" fillId="2" borderId="52" xfId="0" applyFont="1" applyFill="1" applyBorder="1" applyAlignment="1">
      <alignment horizontal="center"/>
    </xf>
    <xf numFmtId="0" fontId="4" fillId="0" borderId="53" xfId="0" applyFont="1" applyBorder="1" applyAlignment="1">
      <alignment horizontal="center"/>
    </xf>
    <xf numFmtId="0" fontId="4" fillId="2" borderId="54" xfId="0" applyFont="1" applyFill="1" applyBorder="1" applyAlignment="1">
      <alignment horizontal="center"/>
    </xf>
    <xf numFmtId="0" fontId="4" fillId="0" borderId="55" xfId="0" applyFont="1" applyBorder="1" applyAlignment="1">
      <alignment horizontal="center"/>
    </xf>
    <xf numFmtId="0" fontId="4" fillId="2" borderId="56" xfId="0" applyFont="1" applyFill="1" applyBorder="1" applyAlignment="1">
      <alignment horizontal="center"/>
    </xf>
    <xf numFmtId="0" fontId="4" fillId="7" borderId="57" xfId="0" applyFont="1" applyFill="1" applyBorder="1" applyAlignment="1">
      <alignment horizontal="center"/>
    </xf>
    <xf numFmtId="0" fontId="4" fillId="2" borderId="58" xfId="0" applyFont="1" applyFill="1" applyBorder="1" applyAlignment="1">
      <alignment horizontal="center"/>
    </xf>
    <xf numFmtId="0" fontId="4" fillId="0" borderId="61" xfId="0" applyFont="1" applyBorder="1" applyAlignment="1">
      <alignment horizontal="center"/>
    </xf>
    <xf numFmtId="0" fontId="4" fillId="0" borderId="37" xfId="0" applyFont="1" applyBorder="1" applyAlignment="1">
      <alignment horizontal="center"/>
    </xf>
    <xf numFmtId="0" fontId="4" fillId="7" borderId="22" xfId="0" applyFont="1" applyFill="1" applyBorder="1" applyAlignment="1">
      <alignment horizontal="center"/>
    </xf>
    <xf numFmtId="0" fontId="4" fillId="2" borderId="32" xfId="0" applyFont="1" applyFill="1" applyBorder="1" applyAlignment="1">
      <alignment horizontal="center"/>
    </xf>
    <xf numFmtId="0" fontId="4" fillId="0" borderId="13" xfId="0" applyFont="1" applyBorder="1" applyAlignment="1">
      <alignment horizontal="center"/>
    </xf>
    <xf numFmtId="0" fontId="4" fillId="7" borderId="24" xfId="0" applyFont="1" applyFill="1" applyBorder="1" applyAlignment="1">
      <alignment horizontal="center"/>
    </xf>
    <xf numFmtId="0" fontId="4" fillId="2" borderId="63" xfId="0" applyFont="1" applyFill="1" applyBorder="1" applyAlignment="1">
      <alignment horizontal="center"/>
    </xf>
    <xf numFmtId="0" fontId="4" fillId="7" borderId="64" xfId="0" applyFont="1" applyFill="1" applyBorder="1" applyAlignment="1">
      <alignment horizontal="center"/>
    </xf>
    <xf numFmtId="0" fontId="4" fillId="2" borderId="68" xfId="0" applyFont="1" applyFill="1" applyBorder="1" applyAlignment="1">
      <alignment horizontal="center"/>
    </xf>
    <xf numFmtId="0" fontId="4" fillId="7" borderId="69" xfId="0" applyFont="1" applyFill="1" applyBorder="1" applyAlignment="1">
      <alignment horizontal="center"/>
    </xf>
    <xf numFmtId="0" fontId="5" fillId="2" borderId="70" xfId="0" applyFont="1" applyFill="1" applyBorder="1" applyAlignment="1">
      <alignment horizontal="center"/>
    </xf>
    <xf numFmtId="0" fontId="4" fillId="7" borderId="71" xfId="0" applyFont="1" applyFill="1" applyBorder="1" applyAlignment="1">
      <alignment horizontal="center"/>
    </xf>
    <xf numFmtId="0" fontId="5" fillId="2" borderId="72" xfId="0" applyFont="1" applyFill="1" applyBorder="1" applyAlignment="1">
      <alignment horizontal="center"/>
    </xf>
    <xf numFmtId="0" fontId="4" fillId="7" borderId="68" xfId="0" applyFont="1" applyFill="1" applyBorder="1" applyAlignment="1">
      <alignment horizontal="center"/>
    </xf>
    <xf numFmtId="0" fontId="0" fillId="7" borderId="36" xfId="0" applyFill="1" applyBorder="1" applyAlignment="1">
      <alignment horizontal="center"/>
    </xf>
    <xf numFmtId="0" fontId="0" fillId="0" borderId="35" xfId="0" applyBorder="1" applyAlignment="1">
      <alignment horizontal="center"/>
    </xf>
    <xf numFmtId="0" fontId="0" fillId="0" borderId="20" xfId="0" applyBorder="1" applyAlignment="1">
      <alignment horizontal="center"/>
    </xf>
    <xf numFmtId="0" fontId="1" fillId="2" borderId="2" xfId="0" applyFont="1" applyFill="1" applyBorder="1" applyAlignment="1">
      <alignment horizontal="center" vertical="center" wrapText="1"/>
    </xf>
    <xf numFmtId="0" fontId="0" fillId="2" borderId="73" xfId="0" applyFill="1" applyBorder="1" applyAlignment="1">
      <alignment horizontal="center"/>
    </xf>
    <xf numFmtId="0" fontId="0" fillId="2" borderId="33" xfId="0" applyFill="1" applyBorder="1" applyAlignment="1">
      <alignment horizontal="center"/>
    </xf>
    <xf numFmtId="0" fontId="0" fillId="2" borderId="0" xfId="0" applyFill="1" applyAlignment="1">
      <alignment horizontal="center"/>
    </xf>
    <xf numFmtId="0" fontId="4" fillId="2" borderId="74" xfId="0" applyFont="1" applyFill="1" applyBorder="1" applyAlignment="1">
      <alignment horizontal="center"/>
    </xf>
    <xf numFmtId="0" fontId="4" fillId="2" borderId="73" xfId="0" applyFont="1" applyFill="1" applyBorder="1" applyAlignment="1">
      <alignment horizontal="center"/>
    </xf>
    <xf numFmtId="0" fontId="4" fillId="2" borderId="75" xfId="0" applyFont="1" applyFill="1" applyBorder="1" applyAlignment="1">
      <alignment horizontal="center"/>
    </xf>
    <xf numFmtId="0" fontId="4" fillId="2" borderId="76" xfId="0" applyFont="1" applyFill="1" applyBorder="1" applyAlignment="1">
      <alignment horizontal="center"/>
    </xf>
    <xf numFmtId="0" fontId="4" fillId="2" borderId="77" xfId="0" applyFont="1" applyFill="1" applyBorder="1" applyAlignment="1">
      <alignment horizontal="center"/>
    </xf>
    <xf numFmtId="0" fontId="4" fillId="2" borderId="78" xfId="0" applyFont="1" applyFill="1" applyBorder="1" applyAlignment="1">
      <alignment horizontal="center"/>
    </xf>
    <xf numFmtId="0" fontId="4" fillId="2" borderId="71" xfId="0" applyFont="1" applyFill="1" applyBorder="1" applyAlignment="1">
      <alignment horizontal="center"/>
    </xf>
    <xf numFmtId="0" fontId="1" fillId="0" borderId="81" xfId="0" applyFont="1" applyBorder="1" applyAlignment="1">
      <alignment horizontal="center" vertical="center" wrapText="1"/>
    </xf>
    <xf numFmtId="0" fontId="1" fillId="2" borderId="82" xfId="0" applyFont="1" applyFill="1" applyBorder="1" applyAlignment="1">
      <alignment horizontal="center" vertical="center" wrapText="1"/>
    </xf>
    <xf numFmtId="0" fontId="0" fillId="0" borderId="83" xfId="0" applyBorder="1" applyAlignment="1">
      <alignment horizontal="center"/>
    </xf>
    <xf numFmtId="0" fontId="2" fillId="2" borderId="84" xfId="0" applyFont="1" applyFill="1" applyBorder="1" applyAlignment="1">
      <alignment horizontal="center"/>
    </xf>
    <xf numFmtId="0" fontId="0" fillId="0" borderId="85" xfId="0" applyBorder="1" applyAlignment="1">
      <alignment horizontal="center"/>
    </xf>
    <xf numFmtId="0" fontId="0" fillId="0" borderId="86" xfId="0" applyBorder="1" applyAlignment="1">
      <alignment horizontal="center"/>
    </xf>
    <xf numFmtId="0" fontId="2" fillId="2" borderId="87" xfId="0" applyFont="1" applyFill="1" applyBorder="1" applyAlignment="1">
      <alignment horizontal="center"/>
    </xf>
    <xf numFmtId="0" fontId="4" fillId="0" borderId="88" xfId="0" applyFont="1" applyBorder="1" applyAlignment="1">
      <alignment horizontal="center"/>
    </xf>
    <xf numFmtId="0" fontId="5" fillId="2" borderId="89" xfId="0" applyFont="1" applyFill="1" applyBorder="1" applyAlignment="1">
      <alignment horizontal="center"/>
    </xf>
    <xf numFmtId="0" fontId="4" fillId="0" borderId="85" xfId="0" applyFont="1" applyBorder="1" applyAlignment="1">
      <alignment horizontal="center"/>
    </xf>
    <xf numFmtId="0" fontId="5" fillId="2" borderId="84" xfId="0" applyFont="1" applyFill="1" applyBorder="1" applyAlignment="1">
      <alignment horizontal="center"/>
    </xf>
    <xf numFmtId="0" fontId="4" fillId="0" borderId="90" xfId="0" applyFont="1" applyBorder="1" applyAlignment="1">
      <alignment horizontal="center"/>
    </xf>
    <xf numFmtId="0" fontId="5" fillId="2" borderId="91" xfId="0" applyFont="1" applyFill="1" applyBorder="1" applyAlignment="1">
      <alignment horizontal="center"/>
    </xf>
    <xf numFmtId="0" fontId="0" fillId="0" borderId="92" xfId="0" applyBorder="1" applyAlignment="1">
      <alignment horizontal="center"/>
    </xf>
    <xf numFmtId="0" fontId="2" fillId="2" borderId="93" xfId="0" applyFont="1" applyFill="1" applyBorder="1" applyAlignment="1">
      <alignment horizontal="center"/>
    </xf>
    <xf numFmtId="0" fontId="2" fillId="2" borderId="94" xfId="0" applyFont="1" applyFill="1" applyBorder="1" applyAlignment="1">
      <alignment horizontal="center"/>
    </xf>
    <xf numFmtId="0" fontId="4" fillId="0" borderId="95" xfId="0" applyFont="1" applyBorder="1" applyAlignment="1">
      <alignment horizontal="center"/>
    </xf>
    <xf numFmtId="0" fontId="5" fillId="2" borderId="96" xfId="0" applyFont="1" applyFill="1" applyBorder="1" applyAlignment="1">
      <alignment horizontal="center"/>
    </xf>
    <xf numFmtId="0" fontId="0" fillId="0" borderId="97" xfId="0" applyBorder="1"/>
    <xf numFmtId="0" fontId="0" fillId="0" borderId="98" xfId="0" applyBorder="1"/>
    <xf numFmtId="0" fontId="0" fillId="0" borderId="99" xfId="0" applyBorder="1" applyAlignment="1">
      <alignment horizontal="center"/>
    </xf>
    <xf numFmtId="0" fontId="0" fillId="0" borderId="100" xfId="0" applyBorder="1" applyAlignment="1">
      <alignment horizontal="center"/>
    </xf>
    <xf numFmtId="0" fontId="0" fillId="0" borderId="101" xfId="0" applyBorder="1" applyAlignment="1">
      <alignment horizontal="center"/>
    </xf>
    <xf numFmtId="0" fontId="0" fillId="0" borderId="102" xfId="0" applyBorder="1" applyAlignment="1">
      <alignment horizontal="center"/>
    </xf>
    <xf numFmtId="0" fontId="0" fillId="9" borderId="0" xfId="0" applyFill="1" applyAlignment="1">
      <alignment wrapText="1"/>
    </xf>
    <xf numFmtId="0" fontId="0" fillId="9" borderId="0" xfId="0" applyFill="1"/>
    <xf numFmtId="0" fontId="4" fillId="0" borderId="0" xfId="0" applyFont="1"/>
    <xf numFmtId="0" fontId="0" fillId="0" borderId="26" xfId="0" applyBorder="1" applyAlignment="1">
      <alignment wrapText="1"/>
    </xf>
    <xf numFmtId="0" fontId="0" fillId="7" borderId="37" xfId="0" applyFill="1" applyBorder="1" applyAlignment="1">
      <alignment horizontal="center"/>
    </xf>
    <xf numFmtId="0" fontId="0" fillId="0" borderId="0" xfId="0" applyAlignment="1">
      <alignment horizontal="left" wrapText="1"/>
    </xf>
    <xf numFmtId="0" fontId="0" fillId="0" borderId="0" xfId="0" applyAlignment="1">
      <alignment horizontal="left"/>
    </xf>
    <xf numFmtId="0" fontId="1" fillId="0" borderId="79" xfId="0" applyFont="1" applyBorder="1" applyAlignment="1">
      <alignment horizontal="center" vertical="center" wrapText="1"/>
    </xf>
    <xf numFmtId="0" fontId="1" fillId="0" borderId="80" xfId="0" applyFont="1" applyBorder="1" applyAlignment="1">
      <alignment horizontal="center" vertical="center" wrapText="1"/>
    </xf>
    <xf numFmtId="0" fontId="1" fillId="5" borderId="31" xfId="0" applyFont="1" applyFill="1" applyBorder="1" applyAlignment="1">
      <alignment horizontal="center" vertical="center" wrapText="1"/>
    </xf>
    <xf numFmtId="0" fontId="1" fillId="5" borderId="38"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4" borderId="3" xfId="0" applyFont="1" applyFill="1" applyBorder="1" applyAlignment="1">
      <alignment horizontal="center" vertical="center" wrapText="1"/>
    </xf>
    <xf numFmtId="0" fontId="1" fillId="6" borderId="2" xfId="0" applyFont="1" applyFill="1" applyBorder="1" applyAlignment="1">
      <alignment horizontal="center" vertical="center" wrapText="1"/>
    </xf>
    <xf numFmtId="0" fontId="1" fillId="6"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4"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styles" Target="styles.xml"/><Relationship Id="rId7" Type="http://schemas.openxmlformats.org/officeDocument/2006/relationships/customXml" Target="../customXml/item1.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10" Type="http://schemas.microsoft.com/office/2006/relationships/vbaProject" Target="vbaProject.bin"/><Relationship Id="rId4" Type="http://schemas.openxmlformats.org/officeDocument/2006/relationships/sharedStrings" Target="sharedStrings.xml"/><Relationship Id="rId9"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BF50F7-8804-4D01-A035-680FB8531512}">
  <sheetPr codeName="Sheet1"/>
  <dimension ref="B2:P63"/>
  <sheetViews>
    <sheetView tabSelected="1" topLeftCell="A30" workbookViewId="0">
      <selection activeCell="N56" sqref="N56"/>
    </sheetView>
  </sheetViews>
  <sheetFormatPr defaultColWidth="9.15625" defaultRowHeight="14.4" x14ac:dyDescent="0.55000000000000004"/>
  <cols>
    <col min="2" max="2" width="17.9453125" style="2" customWidth="1"/>
    <col min="3" max="3" width="14.05078125" customWidth="1"/>
    <col min="4" max="4" width="11.26171875" customWidth="1"/>
    <col min="5" max="5" width="10.15625" customWidth="1"/>
    <col min="6" max="6" width="9.41796875" customWidth="1"/>
    <col min="7" max="7" width="9.83984375" customWidth="1"/>
    <col min="8" max="8" width="10" customWidth="1"/>
    <col min="9" max="9" width="10.83984375" customWidth="1"/>
    <col min="10" max="10" width="12" customWidth="1"/>
    <col min="11" max="11" width="11.15625" customWidth="1"/>
    <col min="12" max="12" width="9.15625" customWidth="1"/>
    <col min="13" max="13" width="9.578125" customWidth="1"/>
    <col min="14" max="14" width="14.41796875" customWidth="1"/>
  </cols>
  <sheetData>
    <row r="2" spans="2:16" x14ac:dyDescent="0.55000000000000004">
      <c r="B2" s="11" t="s">
        <v>51</v>
      </c>
    </row>
    <row r="3" spans="2:16" x14ac:dyDescent="0.55000000000000004">
      <c r="B3" s="11" t="s">
        <v>52</v>
      </c>
    </row>
    <row r="4" spans="2:16" x14ac:dyDescent="0.55000000000000004">
      <c r="B4" s="11" t="s">
        <v>53</v>
      </c>
    </row>
    <row r="5" spans="2:16" x14ac:dyDescent="0.55000000000000004">
      <c r="B5" s="11" t="s">
        <v>54</v>
      </c>
    </row>
    <row r="6" spans="2:16" s="143" customFormat="1" ht="3.3" customHeight="1" x14ac:dyDescent="0.55000000000000004">
      <c r="B6" s="142"/>
    </row>
    <row r="7" spans="2:16" x14ac:dyDescent="0.55000000000000004">
      <c r="B7" s="7" t="s">
        <v>0</v>
      </c>
      <c r="C7" s="147" t="s">
        <v>37</v>
      </c>
      <c r="D7" s="147"/>
      <c r="E7" s="147"/>
      <c r="F7" s="147"/>
      <c r="G7" s="147"/>
      <c r="H7" s="147"/>
      <c r="I7" s="147"/>
      <c r="J7" s="147"/>
      <c r="K7" s="147"/>
      <c r="L7" s="147"/>
      <c r="M7" s="147"/>
      <c r="N7" s="147"/>
      <c r="O7" s="147"/>
      <c r="P7" s="147"/>
    </row>
    <row r="8" spans="2:16" x14ac:dyDescent="0.55000000000000004">
      <c r="B8" s="11"/>
      <c r="C8" s="6" t="s">
        <v>1</v>
      </c>
      <c r="D8" s="6" t="s">
        <v>39</v>
      </c>
      <c r="E8" s="6"/>
      <c r="F8" s="6"/>
      <c r="G8" s="6"/>
      <c r="H8" s="6"/>
      <c r="I8" s="6"/>
      <c r="J8" s="6"/>
      <c r="K8" s="6"/>
      <c r="L8" s="6"/>
      <c r="M8" s="6"/>
      <c r="N8" s="6"/>
      <c r="O8" s="6"/>
      <c r="P8" s="6"/>
    </row>
    <row r="9" spans="2:16" x14ac:dyDescent="0.55000000000000004">
      <c r="C9" t="s">
        <v>2</v>
      </c>
      <c r="D9" t="s">
        <v>40</v>
      </c>
    </row>
    <row r="10" spans="2:16" x14ac:dyDescent="0.55000000000000004">
      <c r="C10" t="s">
        <v>3</v>
      </c>
      <c r="D10" t="s">
        <v>41</v>
      </c>
    </row>
    <row r="11" spans="2:16" x14ac:dyDescent="0.55000000000000004">
      <c r="C11" t="s">
        <v>4</v>
      </c>
      <c r="D11" t="s">
        <v>42</v>
      </c>
    </row>
    <row r="12" spans="2:16" x14ac:dyDescent="0.55000000000000004">
      <c r="C12" t="s">
        <v>34</v>
      </c>
      <c r="D12" t="s">
        <v>43</v>
      </c>
    </row>
    <row r="13" spans="2:16" x14ac:dyDescent="0.55000000000000004">
      <c r="B13" s="9" t="s">
        <v>5</v>
      </c>
      <c r="C13" s="148" t="s">
        <v>6</v>
      </c>
      <c r="D13" s="148"/>
      <c r="E13" s="148"/>
      <c r="F13" s="148"/>
      <c r="G13" s="148"/>
      <c r="H13" s="148"/>
      <c r="I13" s="148"/>
      <c r="J13" s="148"/>
      <c r="K13" s="148"/>
      <c r="L13" s="148"/>
      <c r="M13" s="148"/>
      <c r="N13" s="148"/>
      <c r="O13" s="148"/>
      <c r="P13" s="148"/>
    </row>
    <row r="14" spans="2:16" ht="28.8" x14ac:dyDescent="0.55000000000000004">
      <c r="B14" s="8" t="s">
        <v>7</v>
      </c>
      <c r="C14" s="148" t="s">
        <v>8</v>
      </c>
      <c r="D14" s="148"/>
      <c r="E14" s="148"/>
      <c r="F14" s="148"/>
      <c r="G14" s="148"/>
      <c r="H14" s="148"/>
      <c r="I14" s="148"/>
      <c r="J14" s="148"/>
      <c r="K14" s="148"/>
      <c r="L14" s="148"/>
      <c r="M14" s="148"/>
      <c r="N14" s="148"/>
      <c r="O14" s="148"/>
      <c r="P14" s="148"/>
    </row>
    <row r="15" spans="2:16" x14ac:dyDescent="0.55000000000000004">
      <c r="B15" s="10" t="s">
        <v>9</v>
      </c>
      <c r="C15" s="148" t="s">
        <v>10</v>
      </c>
      <c r="D15" s="148"/>
      <c r="E15" s="148"/>
      <c r="F15" s="148"/>
      <c r="G15" s="148"/>
      <c r="H15" s="148"/>
      <c r="I15" s="148"/>
      <c r="J15" s="148"/>
      <c r="K15" s="148"/>
      <c r="L15" s="148"/>
      <c r="M15" s="148"/>
      <c r="N15" s="148"/>
      <c r="O15" s="148"/>
      <c r="P15" s="148"/>
    </row>
    <row r="16" spans="2:16" s="37" customFormat="1" ht="3.6" customHeight="1" x14ac:dyDescent="0.55000000000000004">
      <c r="B16" s="36"/>
    </row>
    <row r="17" spans="2:16" ht="47.1" customHeight="1" x14ac:dyDescent="0.55000000000000004">
      <c r="B17" s="7" t="s">
        <v>55</v>
      </c>
      <c r="C17" s="147" t="s">
        <v>57</v>
      </c>
      <c r="D17" s="147"/>
      <c r="E17" s="147"/>
      <c r="F17" s="147"/>
      <c r="G17" s="147"/>
      <c r="H17" s="147"/>
      <c r="I17" s="147"/>
      <c r="J17" s="147"/>
      <c r="K17" s="147"/>
      <c r="L17" s="147"/>
      <c r="M17" s="147"/>
      <c r="N17" s="147"/>
      <c r="O17" s="147"/>
      <c r="P17" s="147"/>
    </row>
    <row r="18" spans="2:16" x14ac:dyDescent="0.55000000000000004">
      <c r="B18" s="11"/>
      <c r="C18" s="6" t="s">
        <v>38</v>
      </c>
      <c r="D18" s="6" t="s">
        <v>39</v>
      </c>
      <c r="E18" s="6"/>
      <c r="F18" s="6"/>
      <c r="G18" s="6"/>
      <c r="H18" s="6"/>
      <c r="I18" s="6"/>
      <c r="J18" s="6"/>
      <c r="K18" s="6"/>
      <c r="L18" s="6"/>
      <c r="M18" s="6"/>
      <c r="N18" s="6"/>
      <c r="O18" s="6"/>
      <c r="P18" s="6"/>
    </row>
    <row r="19" spans="2:16" x14ac:dyDescent="0.55000000000000004">
      <c r="C19" t="s">
        <v>44</v>
      </c>
      <c r="D19" t="s">
        <v>40</v>
      </c>
    </row>
    <row r="20" spans="2:16" x14ac:dyDescent="0.55000000000000004">
      <c r="C20" t="s">
        <v>45</v>
      </c>
      <c r="D20" t="s">
        <v>41</v>
      </c>
    </row>
    <row r="21" spans="2:16" x14ac:dyDescent="0.55000000000000004">
      <c r="C21" t="s">
        <v>46</v>
      </c>
      <c r="D21" t="s">
        <v>42</v>
      </c>
    </row>
    <row r="22" spans="2:16" x14ac:dyDescent="0.55000000000000004">
      <c r="C22" t="s">
        <v>47</v>
      </c>
      <c r="D22" t="s">
        <v>43</v>
      </c>
    </row>
    <row r="23" spans="2:16" x14ac:dyDescent="0.55000000000000004">
      <c r="B23" s="9" t="s">
        <v>56</v>
      </c>
      <c r="C23" s="148" t="s">
        <v>48</v>
      </c>
      <c r="D23" s="148"/>
      <c r="E23" s="148"/>
      <c r="F23" s="148"/>
      <c r="G23" s="148"/>
      <c r="H23" s="148"/>
      <c r="I23" s="148"/>
      <c r="J23" s="148"/>
      <c r="K23" s="148"/>
      <c r="L23" s="148"/>
      <c r="M23" s="148"/>
      <c r="N23" s="148"/>
      <c r="O23" s="148"/>
      <c r="P23" s="148"/>
    </row>
    <row r="24" spans="2:16" ht="28.8" x14ac:dyDescent="0.55000000000000004">
      <c r="B24" s="8" t="s">
        <v>7</v>
      </c>
      <c r="C24" s="148" t="s">
        <v>49</v>
      </c>
      <c r="D24" s="148"/>
      <c r="E24" s="148"/>
      <c r="F24" s="148"/>
      <c r="G24" s="148"/>
      <c r="H24" s="148"/>
      <c r="I24" s="148"/>
      <c r="J24" s="148"/>
      <c r="K24" s="148"/>
      <c r="L24" s="148"/>
      <c r="M24" s="148"/>
      <c r="N24" s="148"/>
      <c r="O24" s="148"/>
      <c r="P24" s="148"/>
    </row>
    <row r="25" spans="2:16" x14ac:dyDescent="0.55000000000000004">
      <c r="B25" s="10" t="s">
        <v>9</v>
      </c>
      <c r="C25" s="148" t="s">
        <v>50</v>
      </c>
      <c r="D25" s="148"/>
      <c r="E25" s="148"/>
      <c r="F25" s="148"/>
      <c r="G25" s="148"/>
      <c r="H25" s="148"/>
      <c r="I25" s="148"/>
      <c r="J25" s="148"/>
      <c r="K25" s="148"/>
      <c r="L25" s="148"/>
      <c r="M25" s="148"/>
      <c r="N25" s="148"/>
      <c r="O25" s="148"/>
      <c r="P25" s="148"/>
    </row>
    <row r="26" spans="2:16" s="143" customFormat="1" ht="4.2" customHeight="1" x14ac:dyDescent="0.55000000000000004">
      <c r="B26" s="142"/>
    </row>
    <row r="27" spans="2:16" s="2" customFormat="1" ht="14.7" thickBot="1" x14ac:dyDescent="0.6">
      <c r="B27" s="144" t="s">
        <v>58</v>
      </c>
      <c r="D27" s="145"/>
      <c r="E27" s="145"/>
    </row>
    <row r="28" spans="2:16" s="4" customFormat="1" ht="47.1" customHeight="1" thickTop="1" thickBot="1" x14ac:dyDescent="0.6">
      <c r="B28" s="14" t="s">
        <v>11</v>
      </c>
      <c r="C28" s="15" t="s">
        <v>12</v>
      </c>
      <c r="D28" s="151" t="s">
        <v>13</v>
      </c>
      <c r="E28" s="152"/>
      <c r="F28" s="153" t="s">
        <v>14</v>
      </c>
      <c r="G28" s="154"/>
      <c r="H28" s="155" t="s">
        <v>33</v>
      </c>
      <c r="I28" s="156"/>
      <c r="J28" s="157" t="s">
        <v>15</v>
      </c>
      <c r="K28" s="158"/>
      <c r="L28" s="149" t="s">
        <v>16</v>
      </c>
      <c r="M28" s="150"/>
      <c r="N28" s="5"/>
    </row>
    <row r="29" spans="2:16" s="4" customFormat="1" ht="15.9" thickBot="1" x14ac:dyDescent="0.6">
      <c r="B29" s="13"/>
      <c r="C29" s="42"/>
      <c r="D29" s="47" t="s">
        <v>17</v>
      </c>
      <c r="E29" s="48" t="s">
        <v>18</v>
      </c>
      <c r="F29" s="25" t="s">
        <v>17</v>
      </c>
      <c r="G29" s="14" t="s">
        <v>18</v>
      </c>
      <c r="H29" s="35" t="s">
        <v>17</v>
      </c>
      <c r="I29" s="14" t="s">
        <v>18</v>
      </c>
      <c r="J29" s="35" t="s">
        <v>17</v>
      </c>
      <c r="K29" s="107" t="s">
        <v>19</v>
      </c>
      <c r="L29" s="118" t="s">
        <v>17</v>
      </c>
      <c r="M29" s="119" t="s">
        <v>18</v>
      </c>
      <c r="N29" s="5"/>
    </row>
    <row r="30" spans="2:16" ht="14.7" thickBot="1" x14ac:dyDescent="0.6">
      <c r="B30" s="12">
        <v>1.1000000000000001</v>
      </c>
      <c r="C30" s="41" t="s">
        <v>20</v>
      </c>
      <c r="D30" s="49" t="s">
        <v>21</v>
      </c>
      <c r="E30" s="50" t="s">
        <v>28</v>
      </c>
      <c r="F30" s="45" t="s">
        <v>21</v>
      </c>
      <c r="G30" s="28" t="s">
        <v>22</v>
      </c>
      <c r="H30" s="31" t="s">
        <v>21</v>
      </c>
      <c r="I30" s="28" t="s">
        <v>26</v>
      </c>
      <c r="J30" s="32"/>
      <c r="K30" s="108" t="s">
        <v>22</v>
      </c>
      <c r="L30" s="120">
        <f t="shared" ref="L30:L33" si="0">SUM(D30,F30,H30,J30)</f>
        <v>0</v>
      </c>
      <c r="M30" s="121" cm="1">
        <f t="array" ref="M30">SumNumbers(I30)+SumNumbers(G30)+SumNumbers(K30)+SumNumbers(E30)</f>
        <v>55</v>
      </c>
    </row>
    <row r="31" spans="2:16" ht="15" thickTop="1" thickBot="1" x14ac:dyDescent="0.6">
      <c r="B31" s="12">
        <v>1.2</v>
      </c>
      <c r="C31" s="41" t="s">
        <v>20</v>
      </c>
      <c r="D31" s="29" t="s">
        <v>21</v>
      </c>
      <c r="E31" s="24" t="s">
        <v>28</v>
      </c>
      <c r="F31" s="105" t="s">
        <v>24</v>
      </c>
      <c r="G31" s="23" t="s">
        <v>24</v>
      </c>
      <c r="H31" s="106" t="s">
        <v>24</v>
      </c>
      <c r="I31" s="23" t="s">
        <v>24</v>
      </c>
      <c r="J31" s="30"/>
      <c r="K31" s="108" t="s">
        <v>22</v>
      </c>
      <c r="L31" s="120">
        <f t="shared" si="0"/>
        <v>0</v>
      </c>
      <c r="M31" s="121" cm="1">
        <f t="array" ref="M31">SumNumbers(I31)+SumNumbers(G31)+SumNumbers(K31)+SumNumbers(E31)</f>
        <v>30</v>
      </c>
    </row>
    <row r="32" spans="2:16" ht="15" thickTop="1" thickBot="1" x14ac:dyDescent="0.6">
      <c r="B32" s="12">
        <v>1.3</v>
      </c>
      <c r="C32" s="41" t="s">
        <v>20</v>
      </c>
      <c r="D32" s="30" t="s">
        <v>21</v>
      </c>
      <c r="E32" s="24" t="s">
        <v>28</v>
      </c>
      <c r="F32" s="104" t="s">
        <v>21</v>
      </c>
      <c r="G32" s="28" t="s">
        <v>22</v>
      </c>
      <c r="H32" s="18" t="s">
        <v>24</v>
      </c>
      <c r="I32" s="19" t="s">
        <v>24</v>
      </c>
      <c r="J32" s="30"/>
      <c r="K32" s="108" t="s">
        <v>22</v>
      </c>
      <c r="L32" s="120">
        <f t="shared" si="0"/>
        <v>0</v>
      </c>
      <c r="M32" s="121" cm="1">
        <f t="array" ref="M32">SumNumbers(I32)+SumNumbers(G32)+SumNumbers(K32)+SumNumbers(E32)</f>
        <v>50</v>
      </c>
    </row>
    <row r="33" spans="2:13" ht="15" thickTop="1" thickBot="1" x14ac:dyDescent="0.6">
      <c r="B33" s="12">
        <v>2.1</v>
      </c>
      <c r="C33" s="41" t="s">
        <v>27</v>
      </c>
      <c r="D33" s="16" t="s">
        <v>25</v>
      </c>
      <c r="E33" s="17" t="s">
        <v>24</v>
      </c>
      <c r="F33" s="46" t="s">
        <v>24</v>
      </c>
      <c r="G33" s="17" t="s">
        <v>24</v>
      </c>
      <c r="H33" s="16" t="s">
        <v>24</v>
      </c>
      <c r="I33" s="17" t="s">
        <v>24</v>
      </c>
      <c r="J33" s="31"/>
      <c r="K33" s="109" t="s">
        <v>26</v>
      </c>
      <c r="L33" s="122">
        <f t="shared" si="0"/>
        <v>0</v>
      </c>
      <c r="M33" s="121" cm="1">
        <f t="array" ref="M33">SumNumbers(I33)+SumNumbers(G33)+SumNumbers(K33)+SumNumbers(E33)</f>
        <v>5</v>
      </c>
    </row>
    <row r="34" spans="2:13" ht="15" thickTop="1" thickBot="1" x14ac:dyDescent="0.6">
      <c r="B34" s="12">
        <v>2.2000000000000002</v>
      </c>
      <c r="C34" s="41" t="s">
        <v>27</v>
      </c>
      <c r="D34" s="16" t="s">
        <v>25</v>
      </c>
      <c r="E34" s="17" t="s">
        <v>24</v>
      </c>
      <c r="F34" s="46" t="s">
        <v>24</v>
      </c>
      <c r="G34" s="17" t="s">
        <v>24</v>
      </c>
      <c r="H34" s="16" t="s">
        <v>24</v>
      </c>
      <c r="I34" s="17" t="s">
        <v>24</v>
      </c>
      <c r="J34" s="30"/>
      <c r="K34" s="109" t="s">
        <v>26</v>
      </c>
      <c r="L34" s="122">
        <f t="shared" ref="L34:L57" si="1">SUM(D34,F34,H34,J34)</f>
        <v>0</v>
      </c>
      <c r="M34" s="121" cm="1">
        <f t="array" ref="M34">SumNumbers(I34)+SumNumbers(G34)+SumNumbers(K34)+SumNumbers(E34)</f>
        <v>5</v>
      </c>
    </row>
    <row r="35" spans="2:13" ht="15" thickTop="1" thickBot="1" x14ac:dyDescent="0.6">
      <c r="B35" s="12">
        <v>2.2999999999999998</v>
      </c>
      <c r="C35" s="41" t="s">
        <v>27</v>
      </c>
      <c r="D35" s="16" t="s">
        <v>25</v>
      </c>
      <c r="E35" s="17" t="s">
        <v>24</v>
      </c>
      <c r="F35" s="46" t="s">
        <v>24</v>
      </c>
      <c r="G35" s="17" t="s">
        <v>24</v>
      </c>
      <c r="H35" s="16" t="s">
        <v>24</v>
      </c>
      <c r="I35" s="17" t="s">
        <v>24</v>
      </c>
      <c r="J35" s="30"/>
      <c r="K35" s="109" t="s">
        <v>26</v>
      </c>
      <c r="L35" s="122">
        <f t="shared" si="1"/>
        <v>0</v>
      </c>
      <c r="M35" s="121" cm="1">
        <f t="array" ref="M35">SumNumbers(I35)+SumNumbers(G35)+SumNumbers(K35)+SumNumbers(E35)</f>
        <v>5</v>
      </c>
    </row>
    <row r="36" spans="2:13" ht="15" thickTop="1" thickBot="1" x14ac:dyDescent="0.6">
      <c r="B36" s="12">
        <v>2.4</v>
      </c>
      <c r="C36" s="41" t="s">
        <v>27</v>
      </c>
      <c r="D36" s="16" t="s">
        <v>25</v>
      </c>
      <c r="E36" s="17" t="s">
        <v>24</v>
      </c>
      <c r="F36" s="46" t="s">
        <v>24</v>
      </c>
      <c r="G36" s="19" t="s">
        <v>24</v>
      </c>
      <c r="H36" s="16" t="s">
        <v>24</v>
      </c>
      <c r="I36" s="19" t="s">
        <v>24</v>
      </c>
      <c r="J36" s="30"/>
      <c r="K36" s="108" t="s">
        <v>26</v>
      </c>
      <c r="L36" s="122">
        <f t="shared" si="1"/>
        <v>0</v>
      </c>
      <c r="M36" s="121" cm="1">
        <f t="array" ref="M36">SumNumbers(I36)+SumNumbers(G36)+SumNumbers(K36)+SumNumbers(E36)</f>
        <v>5</v>
      </c>
    </row>
    <row r="37" spans="2:13" ht="15" thickTop="1" thickBot="1" x14ac:dyDescent="0.6">
      <c r="B37" s="12">
        <v>2.5</v>
      </c>
      <c r="C37" s="41" t="s">
        <v>27</v>
      </c>
      <c r="D37" s="16" t="s">
        <v>25</v>
      </c>
      <c r="E37" s="17" t="s">
        <v>24</v>
      </c>
      <c r="F37" s="46" t="s">
        <v>24</v>
      </c>
      <c r="G37" s="19" t="s">
        <v>24</v>
      </c>
      <c r="H37" s="22" t="s">
        <v>24</v>
      </c>
      <c r="I37" s="19" t="s">
        <v>24</v>
      </c>
      <c r="J37" s="30"/>
      <c r="K37" s="108" t="s">
        <v>26</v>
      </c>
      <c r="L37" s="122">
        <f t="shared" si="1"/>
        <v>0</v>
      </c>
      <c r="M37" s="121" cm="1">
        <f t="array" ref="M37">SumNumbers(I37)+SumNumbers(G37)+SumNumbers(K37)+SumNumbers(E37)</f>
        <v>5</v>
      </c>
    </row>
    <row r="38" spans="2:13" ht="15" thickTop="1" thickBot="1" x14ac:dyDescent="0.6">
      <c r="B38" s="12">
        <v>3.1</v>
      </c>
      <c r="C38" s="41" t="s">
        <v>23</v>
      </c>
      <c r="D38" s="44" t="s">
        <v>21</v>
      </c>
      <c r="E38" s="27" t="s">
        <v>28</v>
      </c>
      <c r="F38" s="146" t="s">
        <v>21</v>
      </c>
      <c r="G38" s="19" t="s">
        <v>22</v>
      </c>
      <c r="H38" s="22" t="s">
        <v>24</v>
      </c>
      <c r="I38" s="19" t="s">
        <v>24</v>
      </c>
      <c r="J38" s="30"/>
      <c r="K38" s="108" t="s">
        <v>29</v>
      </c>
      <c r="L38" s="122">
        <f t="shared" ref="L38:L44" si="2">SUM(D38,F38,H38,J38)</f>
        <v>0</v>
      </c>
      <c r="M38" s="121" cm="1">
        <f t="array" ref="M38">SumNumbers(I38)+SumNumbers(G38)+SumNumbers(K38)+SumNumbers(E38)</f>
        <v>80</v>
      </c>
    </row>
    <row r="39" spans="2:13" ht="15" thickTop="1" thickBot="1" x14ac:dyDescent="0.6">
      <c r="B39" s="12">
        <v>3.2</v>
      </c>
      <c r="C39" s="41" t="s">
        <v>27</v>
      </c>
      <c r="D39" s="44" t="s">
        <v>21</v>
      </c>
      <c r="E39" s="24" t="s">
        <v>28</v>
      </c>
      <c r="F39" s="46" t="s">
        <v>24</v>
      </c>
      <c r="G39" s="38" t="s">
        <v>24</v>
      </c>
      <c r="H39" s="39" t="s">
        <v>24</v>
      </c>
      <c r="I39" s="23" t="s">
        <v>24</v>
      </c>
      <c r="J39" s="30"/>
      <c r="K39" s="108" t="s">
        <v>26</v>
      </c>
      <c r="L39" s="122">
        <f t="shared" si="2"/>
        <v>0</v>
      </c>
      <c r="M39" s="121" cm="1">
        <f t="array" ref="M39">SumNumbers(I39)+SumNumbers(G39)+SumNumbers(K39)+SumNumbers(E39)</f>
        <v>15</v>
      </c>
    </row>
    <row r="40" spans="2:13" ht="15" thickTop="1" thickBot="1" x14ac:dyDescent="0.6">
      <c r="B40" s="12">
        <v>3.3</v>
      </c>
      <c r="C40" s="41" t="s">
        <v>27</v>
      </c>
      <c r="D40" s="44" t="s">
        <v>21</v>
      </c>
      <c r="E40" s="24" t="s">
        <v>28</v>
      </c>
      <c r="F40" s="146" t="s">
        <v>21</v>
      </c>
      <c r="G40" s="38" t="s">
        <v>22</v>
      </c>
      <c r="H40" s="39" t="s">
        <v>24</v>
      </c>
      <c r="I40" s="23" t="s">
        <v>24</v>
      </c>
      <c r="J40" s="30"/>
      <c r="K40" s="108" t="s">
        <v>26</v>
      </c>
      <c r="L40" s="122">
        <f t="shared" si="2"/>
        <v>0</v>
      </c>
      <c r="M40" s="121" cm="1">
        <f t="array" ref="M40">SumNumbers(I40)+SumNumbers(G40)+SumNumbers(K40)+SumNumbers(E40)</f>
        <v>35</v>
      </c>
    </row>
    <row r="41" spans="2:13" ht="15" thickTop="1" thickBot="1" x14ac:dyDescent="0.6">
      <c r="B41" s="12">
        <v>4.0999999999999996</v>
      </c>
      <c r="C41" s="41" t="s">
        <v>27</v>
      </c>
      <c r="D41" s="16" t="s">
        <v>25</v>
      </c>
      <c r="E41" s="17" t="s">
        <v>24</v>
      </c>
      <c r="F41" s="46" t="s">
        <v>24</v>
      </c>
      <c r="G41" s="19" t="s">
        <v>24</v>
      </c>
      <c r="H41" s="18" t="s">
        <v>24</v>
      </c>
      <c r="I41" s="19" t="s">
        <v>24</v>
      </c>
      <c r="J41" s="31"/>
      <c r="K41" s="108" t="s">
        <v>26</v>
      </c>
      <c r="L41" s="122">
        <f t="shared" si="2"/>
        <v>0</v>
      </c>
      <c r="M41" s="121" cm="1">
        <f t="array" ref="M41">SumNumbers(I41)+SumNumbers(G41)+SumNumbers(K41)+SumNumbers(E41)</f>
        <v>5</v>
      </c>
    </row>
    <row r="42" spans="2:13" ht="15" thickTop="1" thickBot="1" x14ac:dyDescent="0.6">
      <c r="B42" s="12">
        <v>4.2</v>
      </c>
      <c r="C42" s="41" t="s">
        <v>27</v>
      </c>
      <c r="D42" s="16" t="s">
        <v>25</v>
      </c>
      <c r="E42" s="17" t="s">
        <v>24</v>
      </c>
      <c r="F42" s="46" t="s">
        <v>24</v>
      </c>
      <c r="G42" s="19" t="s">
        <v>24</v>
      </c>
      <c r="H42" s="16" t="s">
        <v>24</v>
      </c>
      <c r="I42" s="19" t="s">
        <v>24</v>
      </c>
      <c r="J42" s="30"/>
      <c r="K42" s="108" t="s">
        <v>26</v>
      </c>
      <c r="L42" s="122">
        <f t="shared" si="2"/>
        <v>0</v>
      </c>
      <c r="M42" s="121" cm="1">
        <f t="array" ref="M42">SumNumbers(I42)+SumNumbers(G42)+SumNumbers(K42)+SumNumbers(E42)</f>
        <v>5</v>
      </c>
    </row>
    <row r="43" spans="2:13" ht="15" thickTop="1" thickBot="1" x14ac:dyDescent="0.6">
      <c r="B43" s="12">
        <v>4.3</v>
      </c>
      <c r="C43" s="41" t="s">
        <v>27</v>
      </c>
      <c r="D43" s="16" t="s">
        <v>25</v>
      </c>
      <c r="E43" s="17" t="s">
        <v>24</v>
      </c>
      <c r="F43" s="46" t="s">
        <v>24</v>
      </c>
      <c r="G43" s="19" t="s">
        <v>24</v>
      </c>
      <c r="H43" s="16" t="s">
        <v>24</v>
      </c>
      <c r="I43" s="19" t="s">
        <v>24</v>
      </c>
      <c r="J43" s="30"/>
      <c r="K43" s="108" t="s">
        <v>26</v>
      </c>
      <c r="L43" s="122">
        <f t="shared" si="2"/>
        <v>0</v>
      </c>
      <c r="M43" s="121" cm="1">
        <f t="array" ref="M43">SumNumbers(I43)+SumNumbers(G43)+SumNumbers(K43)+SumNumbers(E43)</f>
        <v>5</v>
      </c>
    </row>
    <row r="44" spans="2:13" ht="15" thickTop="1" thickBot="1" x14ac:dyDescent="0.6">
      <c r="B44" s="12">
        <v>4.4000000000000004</v>
      </c>
      <c r="C44" s="41" t="s">
        <v>27</v>
      </c>
      <c r="D44" s="16" t="s">
        <v>25</v>
      </c>
      <c r="E44" s="17" t="s">
        <v>24</v>
      </c>
      <c r="F44" s="46" t="s">
        <v>24</v>
      </c>
      <c r="G44" s="19" t="s">
        <v>24</v>
      </c>
      <c r="H44" s="16" t="s">
        <v>24</v>
      </c>
      <c r="I44" s="19" t="s">
        <v>24</v>
      </c>
      <c r="J44" s="31"/>
      <c r="K44" s="108" t="s">
        <v>26</v>
      </c>
      <c r="L44" s="122">
        <f t="shared" si="2"/>
        <v>0</v>
      </c>
      <c r="M44" s="121" cm="1">
        <f t="array" ref="M44">SumNumbers(I44)+SumNumbers(G44)+SumNumbers(K44)+SumNumbers(E44)</f>
        <v>5</v>
      </c>
    </row>
    <row r="45" spans="2:13" ht="14.7" thickTop="1" x14ac:dyDescent="0.55000000000000004">
      <c r="B45" s="21">
        <v>4.5</v>
      </c>
      <c r="C45" s="43" t="s">
        <v>27</v>
      </c>
      <c r="D45" s="22" t="s">
        <v>25</v>
      </c>
      <c r="E45" s="33" t="s">
        <v>24</v>
      </c>
      <c r="F45" s="40" t="s">
        <v>24</v>
      </c>
      <c r="G45" s="51" t="s">
        <v>24</v>
      </c>
      <c r="H45" s="22" t="s">
        <v>24</v>
      </c>
      <c r="I45" s="51" t="s">
        <v>24</v>
      </c>
      <c r="J45" s="29"/>
      <c r="K45" s="110" t="s">
        <v>26</v>
      </c>
      <c r="L45" s="123">
        <f t="shared" si="1"/>
        <v>0</v>
      </c>
      <c r="M45" s="124" cm="1">
        <f t="array" ref="M45">SumNumbers(I45)+SumNumbers(G45)+SumNumbers(K45)+SumNumbers(E45)</f>
        <v>5</v>
      </c>
    </row>
    <row r="46" spans="2:13" ht="14.7" thickBot="1" x14ac:dyDescent="0.6">
      <c r="B46" s="60">
        <v>5.0999999999999996</v>
      </c>
      <c r="C46" s="65" t="s">
        <v>27</v>
      </c>
      <c r="D46" s="66" t="s">
        <v>25</v>
      </c>
      <c r="E46" s="67" t="s">
        <v>24</v>
      </c>
      <c r="F46" s="68" t="s">
        <v>24</v>
      </c>
      <c r="G46" s="67" t="s">
        <v>24</v>
      </c>
      <c r="H46" s="69" t="s">
        <v>24</v>
      </c>
      <c r="I46" s="67" t="s">
        <v>24</v>
      </c>
      <c r="J46" s="70"/>
      <c r="K46" s="111" t="s">
        <v>26</v>
      </c>
      <c r="L46" s="125">
        <f t="shared" si="1"/>
        <v>0</v>
      </c>
      <c r="M46" s="126" cm="1">
        <f t="array" ref="M46">SumNumbers(I46)+SumNumbers(G46)+SumNumbers(K46)+SumNumbers(E46)</f>
        <v>5</v>
      </c>
    </row>
    <row r="47" spans="2:13" ht="15" thickTop="1" thickBot="1" x14ac:dyDescent="0.6">
      <c r="B47" s="61">
        <v>5.2</v>
      </c>
      <c r="C47" s="71" t="s">
        <v>27</v>
      </c>
      <c r="D47" s="72" t="s">
        <v>21</v>
      </c>
      <c r="E47" s="73" t="s">
        <v>28</v>
      </c>
      <c r="F47" s="74" t="s">
        <v>21</v>
      </c>
      <c r="G47" s="75" t="s">
        <v>22</v>
      </c>
      <c r="H47" s="76" t="s">
        <v>24</v>
      </c>
      <c r="I47" s="77" t="s">
        <v>24</v>
      </c>
      <c r="J47" s="72"/>
      <c r="K47" s="112" t="s">
        <v>26</v>
      </c>
      <c r="L47" s="127">
        <f t="shared" si="1"/>
        <v>0</v>
      </c>
      <c r="M47" s="128" cm="1">
        <f t="array" ref="M47">SumNumbers(I47)+SumNumbers(G47)+SumNumbers(K47)+SumNumbers(E47)</f>
        <v>35</v>
      </c>
    </row>
    <row r="48" spans="2:13" ht="15" thickTop="1" thickBot="1" x14ac:dyDescent="0.6">
      <c r="B48" s="61">
        <v>5.3</v>
      </c>
      <c r="C48" s="71" t="s">
        <v>27</v>
      </c>
      <c r="D48" s="79" t="s">
        <v>25</v>
      </c>
      <c r="E48" s="80" t="s">
        <v>24</v>
      </c>
      <c r="F48" s="81" t="s">
        <v>24</v>
      </c>
      <c r="G48" s="77" t="s">
        <v>24</v>
      </c>
      <c r="H48" s="76" t="s">
        <v>24</v>
      </c>
      <c r="I48" s="77" t="s">
        <v>24</v>
      </c>
      <c r="J48" s="82"/>
      <c r="K48" s="112" t="s">
        <v>26</v>
      </c>
      <c r="L48" s="127">
        <f t="shared" si="1"/>
        <v>0</v>
      </c>
      <c r="M48" s="128" cm="1">
        <f t="array" ref="M48">SumNumbers(I48)+SumNumbers(G48)+SumNumbers(K48)+SumNumbers(E48)</f>
        <v>5</v>
      </c>
    </row>
    <row r="49" spans="2:13" ht="14.7" thickTop="1" x14ac:dyDescent="0.55000000000000004">
      <c r="B49" s="62">
        <v>5.4</v>
      </c>
      <c r="C49" s="83" t="s">
        <v>23</v>
      </c>
      <c r="D49" s="84" t="s">
        <v>25</v>
      </c>
      <c r="E49" s="85" t="s">
        <v>24</v>
      </c>
      <c r="F49" s="86" t="s">
        <v>24</v>
      </c>
      <c r="G49" s="87" t="s">
        <v>24</v>
      </c>
      <c r="H49" s="84" t="s">
        <v>24</v>
      </c>
      <c r="I49" s="87" t="s">
        <v>24</v>
      </c>
      <c r="J49" s="88"/>
      <c r="K49" s="113" t="s">
        <v>29</v>
      </c>
      <c r="L49" s="129">
        <f t="shared" si="1"/>
        <v>0</v>
      </c>
      <c r="M49" s="130" cm="1">
        <f t="array" ref="M49">SumNumbers(I49)+SumNumbers(G49)+SumNumbers(K49)+SumNumbers(E49)</f>
        <v>50</v>
      </c>
    </row>
    <row r="50" spans="2:13" x14ac:dyDescent="0.55000000000000004">
      <c r="B50" s="52">
        <v>6</v>
      </c>
      <c r="C50" s="53" t="s">
        <v>27</v>
      </c>
      <c r="D50" s="26" t="s">
        <v>25</v>
      </c>
      <c r="E50" s="54" t="s">
        <v>24</v>
      </c>
      <c r="F50" s="55" t="s">
        <v>24</v>
      </c>
      <c r="G50" s="54" t="s">
        <v>24</v>
      </c>
      <c r="H50" s="26" t="s">
        <v>24</v>
      </c>
      <c r="I50" s="51" t="s">
        <v>24</v>
      </c>
      <c r="J50" s="32"/>
      <c r="K50" s="110" t="s">
        <v>26</v>
      </c>
      <c r="L50" s="131">
        <f t="shared" si="1"/>
        <v>0</v>
      </c>
      <c r="M50" s="132" cm="1">
        <f t="array" ref="M50">SumNumbers(I50)+SumNumbers(G50)+SumNumbers(K50)+SumNumbers(E50)</f>
        <v>5</v>
      </c>
    </row>
    <row r="51" spans="2:13" ht="14.7" thickBot="1" x14ac:dyDescent="0.6">
      <c r="B51" s="60">
        <v>7.1</v>
      </c>
      <c r="C51" s="65" t="s">
        <v>23</v>
      </c>
      <c r="D51" s="69" t="s">
        <v>25</v>
      </c>
      <c r="E51" s="67" t="s">
        <v>24</v>
      </c>
      <c r="F51" s="90" t="s">
        <v>24</v>
      </c>
      <c r="G51" s="67" t="s">
        <v>24</v>
      </c>
      <c r="H51" s="69" t="s">
        <v>24</v>
      </c>
      <c r="I51" s="67" t="s">
        <v>24</v>
      </c>
      <c r="J51" s="70"/>
      <c r="K51" s="111" t="s">
        <v>29</v>
      </c>
      <c r="L51" s="125">
        <f t="shared" si="1"/>
        <v>0</v>
      </c>
      <c r="M51" s="126" cm="1">
        <f t="array" ref="M51">SumNumbers(I51)+SumNumbers(G51)+SumNumbers(K51)+SumNumbers(E51)</f>
        <v>50</v>
      </c>
    </row>
    <row r="52" spans="2:13" ht="15" thickTop="1" thickBot="1" x14ac:dyDescent="0.6">
      <c r="B52" s="61">
        <v>7.2</v>
      </c>
      <c r="C52" s="71" t="s">
        <v>27</v>
      </c>
      <c r="D52" s="76" t="s">
        <v>25</v>
      </c>
      <c r="E52" s="80" t="s">
        <v>24</v>
      </c>
      <c r="F52" s="91" t="s">
        <v>24</v>
      </c>
      <c r="G52" s="78" t="s">
        <v>24</v>
      </c>
      <c r="H52" s="76" t="s">
        <v>24</v>
      </c>
      <c r="I52" s="77" t="s">
        <v>24</v>
      </c>
      <c r="J52" s="82"/>
      <c r="K52" s="112" t="s">
        <v>26</v>
      </c>
      <c r="L52" s="127">
        <f t="shared" si="1"/>
        <v>0</v>
      </c>
      <c r="M52" s="128" cm="1">
        <f t="array" ref="M52">SumNumbers(I52)+SumNumbers(G52)+SumNumbers(K52)+SumNumbers(E52)</f>
        <v>5</v>
      </c>
    </row>
    <row r="53" spans="2:13" ht="15" thickTop="1" thickBot="1" x14ac:dyDescent="0.6">
      <c r="B53" s="61">
        <v>7.3</v>
      </c>
      <c r="C53" s="71" t="s">
        <v>27</v>
      </c>
      <c r="D53" s="76" t="s">
        <v>25</v>
      </c>
      <c r="E53" s="80" t="s">
        <v>24</v>
      </c>
      <c r="F53" s="91" t="s">
        <v>24</v>
      </c>
      <c r="G53" s="78" t="s">
        <v>24</v>
      </c>
      <c r="H53" s="76" t="s">
        <v>24</v>
      </c>
      <c r="I53" s="80" t="s">
        <v>24</v>
      </c>
      <c r="J53" s="72"/>
      <c r="K53" s="112" t="s">
        <v>26</v>
      </c>
      <c r="L53" s="127">
        <f t="shared" si="1"/>
        <v>0</v>
      </c>
      <c r="M53" s="128" cm="1">
        <f t="array" ref="M53">SumNumbers(I53)+SumNumbers(G53)+SumNumbers(K53)+SumNumbers(E53)</f>
        <v>5</v>
      </c>
    </row>
    <row r="54" spans="2:13" ht="15" thickTop="1" thickBot="1" x14ac:dyDescent="0.6">
      <c r="B54" s="61">
        <v>7.4</v>
      </c>
      <c r="C54" s="71" t="s">
        <v>27</v>
      </c>
      <c r="D54" s="76" t="s">
        <v>25</v>
      </c>
      <c r="E54" s="80" t="s">
        <v>24</v>
      </c>
      <c r="F54" s="91" t="s">
        <v>24</v>
      </c>
      <c r="G54" s="78" t="s">
        <v>24</v>
      </c>
      <c r="H54" s="76" t="s">
        <v>24</v>
      </c>
      <c r="I54" s="80" t="s">
        <v>24</v>
      </c>
      <c r="J54" s="92"/>
      <c r="K54" s="114" t="s">
        <v>26</v>
      </c>
      <c r="L54" s="127">
        <f t="shared" si="1"/>
        <v>0</v>
      </c>
      <c r="M54" s="128" cm="1">
        <f t="array" ref="M54">SumNumbers(I54)+SumNumbers(G54)+SumNumbers(K54)+SumNumbers(E54)</f>
        <v>5</v>
      </c>
    </row>
    <row r="55" spans="2:13" ht="15" thickTop="1" thickBot="1" x14ac:dyDescent="0.6">
      <c r="B55" s="63">
        <v>7.5</v>
      </c>
      <c r="C55" s="93" t="s">
        <v>27</v>
      </c>
      <c r="D55" s="94" t="s">
        <v>25</v>
      </c>
      <c r="E55" s="80" t="s">
        <v>24</v>
      </c>
      <c r="F55" s="91" t="s">
        <v>24</v>
      </c>
      <c r="G55" s="78" t="s">
        <v>24</v>
      </c>
      <c r="H55" s="76" t="s">
        <v>24</v>
      </c>
      <c r="I55" s="80" t="s">
        <v>24</v>
      </c>
      <c r="J55" s="95"/>
      <c r="K55" s="115" t="s">
        <v>26</v>
      </c>
      <c r="L55" s="127">
        <f t="shared" si="1"/>
        <v>0</v>
      </c>
      <c r="M55" s="128" cm="1">
        <f t="array" ref="M55">SumNumbers(I55)+SumNumbers(G55)+SumNumbers(K55)+SumNumbers(E55)</f>
        <v>5</v>
      </c>
    </row>
    <row r="56" spans="2:13" ht="14.7" thickTop="1" x14ac:dyDescent="0.55000000000000004">
      <c r="B56" s="62">
        <v>7.6</v>
      </c>
      <c r="C56" s="83" t="s">
        <v>27</v>
      </c>
      <c r="D56" s="84" t="s">
        <v>25</v>
      </c>
      <c r="E56" s="96" t="s">
        <v>24</v>
      </c>
      <c r="F56" s="86" t="s">
        <v>24</v>
      </c>
      <c r="G56" s="89" t="s">
        <v>24</v>
      </c>
      <c r="H56" s="84" t="s">
        <v>24</v>
      </c>
      <c r="I56" s="85" t="s">
        <v>24</v>
      </c>
      <c r="J56" s="97"/>
      <c r="K56" s="116" t="s">
        <v>26</v>
      </c>
      <c r="L56" s="129">
        <f t="shared" si="1"/>
        <v>0</v>
      </c>
      <c r="M56" s="130" cm="1">
        <f t="array" ref="M56">SumNumbers(I56)+SumNumbers(G56)+SumNumbers(K56)+SumNumbers(E56)</f>
        <v>5</v>
      </c>
    </row>
    <row r="57" spans="2:13" ht="14.7" thickBot="1" x14ac:dyDescent="0.6">
      <c r="B57" s="52">
        <v>8</v>
      </c>
      <c r="C57" s="53" t="s">
        <v>20</v>
      </c>
      <c r="D57" s="56" t="s">
        <v>21</v>
      </c>
      <c r="E57" s="28" t="s">
        <v>28</v>
      </c>
      <c r="F57" s="104" t="s">
        <v>21</v>
      </c>
      <c r="G57" s="23" t="s">
        <v>22</v>
      </c>
      <c r="H57" s="18" t="s">
        <v>24</v>
      </c>
      <c r="I57" s="19" t="s">
        <v>24</v>
      </c>
      <c r="J57" s="34"/>
      <c r="K57" s="38" t="s">
        <v>22</v>
      </c>
      <c r="L57" s="120">
        <f t="shared" si="1"/>
        <v>0</v>
      </c>
      <c r="M57" s="133" cm="1">
        <f t="array" ref="M57">SumNumbers(I57)+SumNumbers(G57)+SumNumbers(K57)+SumNumbers(E57)</f>
        <v>50</v>
      </c>
    </row>
    <row r="58" spans="2:13" ht="14.7" thickTop="1" x14ac:dyDescent="0.55000000000000004">
      <c r="B58" s="21">
        <v>9</v>
      </c>
      <c r="C58" s="43" t="s">
        <v>35</v>
      </c>
      <c r="D58" s="29" t="s">
        <v>21</v>
      </c>
      <c r="E58" s="57" t="s">
        <v>28</v>
      </c>
      <c r="F58" s="40" t="s">
        <v>24</v>
      </c>
      <c r="G58" s="58" t="s">
        <v>24</v>
      </c>
      <c r="H58" s="22" t="s">
        <v>24</v>
      </c>
      <c r="I58" s="33" t="s">
        <v>24</v>
      </c>
      <c r="J58" s="59"/>
      <c r="K58" s="110" t="s">
        <v>36</v>
      </c>
      <c r="L58" s="123">
        <f>SUM(D58,F58,H58,J58)</f>
        <v>0</v>
      </c>
      <c r="M58" s="124" cm="1">
        <f t="array" ref="M58">SumNumbers(I58)+SumNumbers(G58)+SumNumbers(K58)+SumNumbers(E58)</f>
        <v>210</v>
      </c>
    </row>
    <row r="59" spans="2:13" ht="14.7" thickBot="1" x14ac:dyDescent="0.6">
      <c r="B59" s="64">
        <v>10</v>
      </c>
      <c r="C59" s="98" t="s">
        <v>30</v>
      </c>
      <c r="D59" s="99" t="s">
        <v>21</v>
      </c>
      <c r="E59" s="100" t="s">
        <v>28</v>
      </c>
      <c r="F59" s="101" t="s">
        <v>21</v>
      </c>
      <c r="G59" s="100" t="s">
        <v>22</v>
      </c>
      <c r="H59" s="99" t="s">
        <v>21</v>
      </c>
      <c r="I59" s="102" t="s">
        <v>22</v>
      </c>
      <c r="J59" s="103"/>
      <c r="K59" s="117" t="s">
        <v>31</v>
      </c>
      <c r="L59" s="134">
        <f>SUM(D59,F59,H59,J59)</f>
        <v>0</v>
      </c>
      <c r="M59" s="135" cm="1">
        <f t="array" ref="M59">SumNumbers(I59)+SumNumbers(G59)+SumNumbers(K59)+SumNumbers(E59)</f>
        <v>135</v>
      </c>
    </row>
    <row r="60" spans="2:13" ht="14.7" thickTop="1" x14ac:dyDescent="0.55000000000000004">
      <c r="L60" s="136"/>
      <c r="M60" s="137"/>
    </row>
    <row r="61" spans="2:13" ht="14.7" thickBot="1" x14ac:dyDescent="0.6">
      <c r="B61" s="3"/>
      <c r="C61" s="1"/>
      <c r="D61" s="1"/>
      <c r="E61" s="1"/>
      <c r="F61" s="1"/>
      <c r="G61" s="1"/>
      <c r="H61" s="1"/>
      <c r="I61" s="1"/>
      <c r="J61" s="1"/>
      <c r="K61" s="1"/>
      <c r="L61" s="138"/>
      <c r="M61" s="139"/>
    </row>
    <row r="62" spans="2:13" ht="14.7" thickBot="1" x14ac:dyDescent="0.6">
      <c r="B62" s="3"/>
      <c r="C62" s="1"/>
      <c r="D62" s="1"/>
      <c r="E62" s="1"/>
      <c r="F62" s="1"/>
      <c r="G62" s="1"/>
      <c r="H62" s="1"/>
      <c r="I62" s="1"/>
      <c r="J62" s="1"/>
      <c r="K62" s="20" t="s">
        <v>32</v>
      </c>
      <c r="L62" s="140">
        <f>SUM(L30:L59)</f>
        <v>0</v>
      </c>
      <c r="M62" s="141">
        <f>SUM(M30:M59)</f>
        <v>885</v>
      </c>
    </row>
    <row r="63" spans="2:13" x14ac:dyDescent="0.55000000000000004">
      <c r="B63" s="3"/>
      <c r="C63" s="1"/>
      <c r="D63" s="1"/>
      <c r="E63" s="1"/>
      <c r="F63" s="1"/>
      <c r="G63" s="1"/>
      <c r="H63" s="1"/>
      <c r="J63" s="1"/>
      <c r="K63" s="1"/>
      <c r="L63" s="1"/>
      <c r="M63" s="1"/>
    </row>
  </sheetData>
  <mergeCells count="13">
    <mergeCell ref="C7:P7"/>
    <mergeCell ref="C13:P13"/>
    <mergeCell ref="C14:P14"/>
    <mergeCell ref="C15:P15"/>
    <mergeCell ref="L28:M28"/>
    <mergeCell ref="C17:P17"/>
    <mergeCell ref="D28:E28"/>
    <mergeCell ref="F28:G28"/>
    <mergeCell ref="H28:I28"/>
    <mergeCell ref="J28:K28"/>
    <mergeCell ref="C23:P23"/>
    <mergeCell ref="C24:P24"/>
    <mergeCell ref="C25:P25"/>
  </mergeCells>
  <phoneticPr fontId="3" type="noConversion"/>
  <dataValidations xWindow="632" yWindow="1808" count="10">
    <dataValidation type="list" allowBlank="1" showInputMessage="1" showErrorMessage="1" sqref="I30:I31" xr:uid="{8218C817-DD88-4D9F-9DFF-79081E43D99B}">
      <formula1>"N/A, /5, /20, To Fill"</formula1>
    </dataValidation>
    <dataValidation type="list" allowBlank="1" showInputMessage="1" showErrorMessage="1" promptTitle="Level selector" prompt="Please select level" sqref="C58:C59" xr:uid="{C2744EF9-A6E2-49A3-A092-85D0D8DD2309}">
      <formula1>"Very Easy, Easy, Medium , Hard, Very Hard, To Fill"</formula1>
    </dataValidation>
    <dataValidation type="list" allowBlank="1" showInputMessage="1" showErrorMessage="1" sqref="K58:K59" xr:uid="{8A487EEA-D9B9-49AC-8F10-597A765AE934}">
      <formula1>"/5,/20,/50,/85,/200, To Fill"</formula1>
    </dataValidation>
    <dataValidation type="list" allowBlank="1" showInputMessage="1" showErrorMessage="1" sqref="F58:I59 E30:E59" xr:uid="{C11632DA-AEA3-41DE-B626-273D21086F12}">
      <formula1>"N/A, /10, To Fill"</formula1>
    </dataValidation>
    <dataValidation type="list" allowBlank="1" showInputMessage="1" showErrorMessage="1" sqref="I32:I59 G30:G59" xr:uid="{0C39689F-B831-4BE8-89B2-4B0278409806}">
      <formula1>"N/A, /20, To Fill"</formula1>
    </dataValidation>
    <dataValidation type="list" allowBlank="1" showInputMessage="1" showErrorMessage="1" sqref="H30:H59 F30:F59" xr:uid="{2A32AB86-687D-4715-9C28-7CFE2AC0B3F6}">
      <formula1>"N/A, 0,5,10,15,20,To Fill"</formula1>
    </dataValidation>
    <dataValidation type="list" allowBlank="1" showInputMessage="1" showErrorMessage="1" promptTitle="Level selector" prompt="Please select level" sqref="C30:C59" xr:uid="{F6552190-D7DF-4264-A312-333F221B17CE}">
      <formula1>"Very Easy, Easy, Medium , Hard, To Fill"</formula1>
    </dataValidation>
    <dataValidation type="list" allowBlank="1" showInputMessage="1" showErrorMessage="1" sqref="K30:K59" xr:uid="{06E33899-5709-421E-9A70-EDFE9F944098}">
      <formula1>"/5,/20,/50,/85,To Fill"</formula1>
    </dataValidation>
    <dataValidation type="list" allowBlank="1" showInputMessage="1" showErrorMessage="1" sqref="D30:D59" xr:uid="{758E1635-32BD-42ED-82C8-F18197407C95}">
      <formula1>"N/A ,0, 10, To Fill"</formula1>
    </dataValidation>
    <dataValidation type="list" allowBlank="1" showInputMessage="1" showErrorMessage="1" sqref="J30:J59" xr:uid="{2348E3C0-537B-48C5-8B80-4259EF944101}">
      <formula1>"0,1,2,3,4,5,6,7,8,9,10,11,12,13,14,15,16,17,18,19,20,21,22,23,24,25,26,27,28,29,30,31,32,33,34,35,36,37,38,39,40,41,42,43,44,45,46,47,48,49,50,51,52,53,54,55,56,57,58,59,60,61,62,63,64,65,66,67,68,69,70,71,72,73,74,75,76,77,78,79,80,81,82,83,84,85"</formula1>
    </dataValidation>
  </dataValidations>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E86AC7D33AA294F8B9D964DC40622B7" ma:contentTypeVersion="13" ma:contentTypeDescription="Crée un document." ma:contentTypeScope="" ma:versionID="494734a240a41b2222d3d0e71853cf9f">
  <xsd:schema xmlns:xsd="http://www.w3.org/2001/XMLSchema" xmlns:xs="http://www.w3.org/2001/XMLSchema" xmlns:p="http://schemas.microsoft.com/office/2006/metadata/properties" xmlns:ns2="66ebee2b-5d1b-47f9-9a56-49d27beda89f" xmlns:ns3="9b909cd4-d7e6-430c-8db0-c06f3fc13092" targetNamespace="http://schemas.microsoft.com/office/2006/metadata/properties" ma:root="true" ma:fieldsID="016b8a277b44c64f79f4996ab3083670" ns2:_="" ns3:_="">
    <xsd:import namespace="66ebee2b-5d1b-47f9-9a56-49d27beda89f"/>
    <xsd:import namespace="9b909cd4-d7e6-430c-8db0-c06f3fc13092"/>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LengthInSeconds" minOccurs="0"/>
                <xsd:element ref="ns3:lcf76f155ced4ddcb4097134ff3c332f" minOccurs="0"/>
                <xsd:element ref="ns2:TaxCatchAll" minOccurs="0"/>
                <xsd:element ref="ns3:MediaServiceObjectDetectorVersion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ebee2b-5d1b-47f9-9a56-49d27beda89f" elementFormDefault="qualified">
    <xsd:import namespace="http://schemas.microsoft.com/office/2006/documentManagement/types"/>
    <xsd:import namespace="http://schemas.microsoft.com/office/infopath/2007/PartnerControls"/>
    <xsd:element name="SharedWithUsers" ma:index="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Partagé avec détails" ma:internalName="SharedWithDetails" ma:readOnly="true">
      <xsd:simpleType>
        <xsd:restriction base="dms:Note">
          <xsd:maxLength value="255"/>
        </xsd:restriction>
      </xsd:simpleType>
    </xsd:element>
    <xsd:element name="TaxCatchAll" ma:index="16" nillable="true" ma:displayName="Taxonomy Catch All Column" ma:hidden="true" ma:list="{e148b3e1-8af2-4f1d-bfe2-499b553a6aba}" ma:internalName="TaxCatchAll" ma:showField="CatchAllData" ma:web="66ebee2b-5d1b-47f9-9a56-49d27beda89f">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b909cd4-d7e6-430c-8db0-c06f3fc13092"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Balises d’images" ma:readOnly="false" ma:fieldId="{5cf76f15-5ced-4ddc-b409-7134ff3c332f}" ma:taxonomyMulti="true" ma:sspId="4d8b08e6-b8b8-4b61-9548-f88fe8eba00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7" nillable="true" ma:displayName="MediaServiceObjectDetectorVersions" ma:hidden="true" ma:indexed="true" ma:internalName="MediaServiceObjectDetectorVersions"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66ebee2b-5d1b-47f9-9a56-49d27beda89f" xsi:nil="true"/>
    <lcf76f155ced4ddcb4097134ff3c332f xmlns="9b909cd4-d7e6-430c-8db0-c06f3fc13092">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F638A132-A2F7-49F9-B959-28E45508FB5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ebee2b-5d1b-47f9-9a56-49d27beda89f"/>
    <ds:schemaRef ds:uri="9b909cd4-d7e6-430c-8db0-c06f3fc130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7EBAE97-54D2-4BE8-8712-8BAEAAB45561}">
  <ds:schemaRefs>
    <ds:schemaRef ds:uri="http://schemas.microsoft.com/sharepoint/v3/contenttype/forms"/>
  </ds:schemaRefs>
</ds:datastoreItem>
</file>

<file path=customXml/itemProps3.xml><?xml version="1.0" encoding="utf-8"?>
<ds:datastoreItem xmlns:ds="http://schemas.openxmlformats.org/officeDocument/2006/customXml" ds:itemID="{2FBDC7EB-D6CA-4687-9C08-6D6D5BD60B66}">
  <ds:schemaRefs>
    <ds:schemaRef ds:uri="http://www.w3.org/XML/1998/namespace"/>
    <ds:schemaRef ds:uri="http://purl.org/dc/elements/1.1/"/>
    <ds:schemaRef ds:uri="http://schemas.openxmlformats.org/package/2006/metadata/core-properties"/>
    <ds:schemaRef ds:uri="66ebee2b-5d1b-47f9-9a56-49d27beda89f"/>
    <ds:schemaRef ds:uri="http://purl.org/dc/dcmitype/"/>
    <ds:schemaRef ds:uri="http://schemas.microsoft.com/office/2006/documentManagement/types"/>
    <ds:schemaRef ds:uri="9b909cd4-d7e6-430c-8db0-c06f3fc13092"/>
    <ds:schemaRef ds:uri="http://purl.org/dc/terms/"/>
    <ds:schemaRef ds:uri="http://schemas.microsoft.com/office/infopath/2007/PartnerControl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GrilleCorrection_CorrectionGrid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Lawless</dc:creator>
  <cp:keywords/>
  <dc:description/>
  <cp:lastModifiedBy>Lawless</cp:lastModifiedBy>
  <cp:revision/>
  <dcterms:created xsi:type="dcterms:W3CDTF">2023-04-12T18:39:19Z</dcterms:created>
  <dcterms:modified xsi:type="dcterms:W3CDTF">2023-06-02T21:27:56Z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0x010100EE86AC7D33AA294F8B9D964DC40622B7</vt:lpwstr>
  </property>
  <property fmtid="{D5CDD505-2E9C-101B-9397-08002B2CF9AE}" pid="3" name="MediaServiceImageTags">
    <vt:lpwstr/>
  </property>
</Properties>
</file>