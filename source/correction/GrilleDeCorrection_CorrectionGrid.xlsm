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defaultThemeVersion="166925"/>
  <mc:AlternateContent xmlns:mc="http://schemas.openxmlformats.org/markup-compatibility/2006">
    <mc:Choice Requires="x15">
      <x15ac:absPath xmlns:x15ac="http://schemas.microsoft.com/office/spreadsheetml/2010/11/ac" url="C:\Users\Lawless\Documents\Job\Evident Challenge\Questionnair\"/>
    </mc:Choice>
  </mc:AlternateContent>
  <xr:revisionPtr revIDLastSave="0" documentId="8_{34BC9A1F-A326-4719-AD37-243FC3316512}" xr6:coauthVersionLast="47" xr6:coauthVersionMax="47" xr10:uidLastSave="{00000000-0000-0000-0000-000000000000}"/>
  <bookViews>
    <workbookView xWindow="-25320" yWindow="9030" windowWidth="25440" windowHeight="15270" xr2:uid="{2E218A8B-385F-482A-AC8F-E77FAE6EFEC1}"/>
  </bookViews>
  <sheets>
    <sheet name="GrilleCorrection_CorrectionGrid" sheetId="1" r:id="rId1"/>
  </sheets>
  <functionGroups builtInGroupCount="19"/>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24" i="1" l="1"/>
  <c r="M24" i="1" a="1"/>
  <c r="M24" i="1"/>
  <c r="L25" i="1"/>
  <c r="M25" i="1" a="1"/>
  <c r="M25" i="1"/>
  <c r="L26" i="1"/>
  <c r="M26" i="1" a="1"/>
  <c r="M26" i="1"/>
  <c r="L27" i="1"/>
  <c r="M27" i="1" a="1"/>
  <c r="M27" i="1"/>
  <c r="L28" i="1"/>
  <c r="M28" i="1" a="1"/>
  <c r="M28" i="1"/>
  <c r="L57" i="1"/>
  <c r="L35" i="1"/>
  <c r="L53" i="1"/>
  <c r="L36" i="1"/>
  <c r="L56" i="1"/>
  <c r="L52" i="1"/>
  <c r="L37" i="1"/>
  <c r="L38" i="1"/>
  <c r="L39" i="1"/>
  <c r="L40" i="1"/>
  <c r="L48" i="1"/>
  <c r="L49" i="1"/>
  <c r="L50" i="1"/>
  <c r="L51" i="1"/>
  <c r="L47" i="1"/>
  <c r="L29" i="1"/>
  <c r="L45" i="1"/>
  <c r="L44" i="1"/>
  <c r="L43" i="1"/>
  <c r="L42" i="1"/>
  <c r="M57" i="1" a="1"/>
  <c r="M35" i="1" a="1"/>
  <c r="M55" i="1" a="1"/>
  <c r="M53" i="1" a="1"/>
  <c r="M36" i="1" a="1"/>
  <c r="M51" i="1" a="1"/>
  <c r="M29" i="1" a="1"/>
  <c r="M45" i="1" a="1"/>
  <c r="M37" i="1" a="1"/>
  <c r="M52" i="1" a="1"/>
  <c r="M56" i="1" a="1"/>
  <c r="M44" i="1" a="1"/>
  <c r="M42" i="1" a="1"/>
  <c r="M54" i="1" a="1"/>
  <c r="M41" i="1" a="1"/>
  <c r="M40" i="1" a="1"/>
  <c r="M50" i="1" a="1"/>
  <c r="M38" i="1" a="1"/>
  <c r="M47" i="1" a="1"/>
  <c r="M39" i="1" a="1"/>
  <c r="M48" i="1" a="1"/>
  <c r="M49" i="1" a="1"/>
  <c r="M46" i="1" a="1"/>
  <c r="M43" i="1" a="1"/>
  <c r="M57" i="1" l="1"/>
  <c r="M35" i="1"/>
  <c r="M55" i="1"/>
  <c r="M53" i="1"/>
  <c r="M36" i="1"/>
  <c r="M56" i="1"/>
  <c r="M54" i="1"/>
  <c r="M37" i="1"/>
  <c r="M52" i="1"/>
  <c r="M41" i="1"/>
  <c r="M39" i="1"/>
  <c r="M38" i="1"/>
  <c r="M40" i="1"/>
  <c r="M51" i="1"/>
  <c r="M47" i="1"/>
  <c r="M50" i="1"/>
  <c r="M49" i="1"/>
  <c r="M48" i="1"/>
  <c r="M29" i="1"/>
  <c r="M46" i="1"/>
  <c r="M42" i="1"/>
  <c r="M43" i="1"/>
  <c r="M44" i="1"/>
  <c r="M45" i="1"/>
  <c r="L30" i="1" l="1"/>
  <c r="L31" i="1"/>
  <c r="L32" i="1"/>
  <c r="L33" i="1"/>
  <c r="L34" i="1"/>
  <c r="L41" i="1"/>
  <c r="L46" i="1"/>
  <c r="M32" i="1" a="1"/>
  <c r="M34" i="1" a="1"/>
  <c r="M30" i="1" a="1"/>
  <c r="M33" i="1" a="1"/>
  <c r="M31" i="1" a="1"/>
  <c r="M32" i="1" l="1"/>
  <c r="M33" i="1"/>
  <c r="M30" i="1"/>
  <c r="M34" i="1"/>
  <c r="M31" i="1"/>
  <c r="L60" i="1"/>
  <c r="M60" i="1"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<sst xmlns="http://schemas.openxmlformats.org/spreadsheetml/2006/main" count="326" uniqueCount="52">
  <si>
    <t xml:space="preserve">Niveau de difficulté : </t>
  </si>
  <si>
    <t xml:space="preserve">Très facile : </t>
  </si>
  <si>
    <t xml:space="preserve">Facile : </t>
  </si>
  <si>
    <t xml:space="preserve">Moyen : </t>
  </si>
  <si>
    <t>Difficile :</t>
  </si>
  <si>
    <t xml:space="preserve">Respect du linter : </t>
  </si>
  <si>
    <t>Ceci est tout ou rien. C'est 10 points si c'est respecté, 0 sinon. Certaine questions ne corrigeront pas le linter, comme les questions à choix de réponses par exemple.</t>
  </si>
  <si>
    <t xml:space="preserve">Architecture 
(SOLID, Clean code) : </t>
  </si>
  <si>
    <t>Les évaluations possibles seront 0, 5, 10, 15, 20. Certaine questions ne corrigerons pas l'archiotecture, comme les questions à choix de réponse par exemple.</t>
  </si>
  <si>
    <t xml:space="preserve">Performance : </t>
  </si>
  <si>
    <t>Les évaluations possibles seront 0, 5, 10, 15, 20. Certaine questions ne corrigerons pas la performance, comme les questions à choix de réponse par exemple.</t>
  </si>
  <si>
    <t>Question #</t>
  </si>
  <si>
    <t>Difficulty level / Niveau de difficulté</t>
  </si>
  <si>
    <t xml:space="preserve">Respect linter/ 
Respect du linter
10 pts </t>
  </si>
  <si>
    <t>Architecture 
(SOLID, Clean code)
20 pts</t>
  </si>
  <si>
    <t xml:space="preserve">Automated correction / correction automatisée
5||20||50||85 pts </t>
  </si>
  <si>
    <t xml:space="preserve">Total pts per/par question </t>
  </si>
  <si>
    <t>Score</t>
  </si>
  <si>
    <t>Max Pts</t>
  </si>
  <si>
    <t>/Max Pts</t>
  </si>
  <si>
    <t>Easy</t>
  </si>
  <si>
    <t>To Fill</t>
  </si>
  <si>
    <t>/20</t>
  </si>
  <si>
    <t xml:space="preserve">Medium </t>
  </si>
  <si>
    <t>N/A</t>
  </si>
  <si>
    <t xml:space="preserve">N/A </t>
  </si>
  <si>
    <t>/5</t>
  </si>
  <si>
    <t>Very Easy</t>
  </si>
  <si>
    <t>/10</t>
  </si>
  <si>
    <t>/50</t>
  </si>
  <si>
    <t>Hard</t>
  </si>
  <si>
    <t>/85</t>
  </si>
  <si>
    <t>Total :</t>
  </si>
  <si>
    <t>Performance
5||20 pts</t>
  </si>
  <si>
    <t>Très Difficile :</t>
  </si>
  <si>
    <t>Very Hard</t>
  </si>
  <si>
    <t>/200</t>
  </si>
  <si>
    <r>
      <t>Il y a 5 niveau de difficulté ,</t>
    </r>
    <r>
      <rPr>
        <b/>
        <sz val="11"/>
        <color theme="1"/>
        <rFont val="Calibri"/>
        <family val="2"/>
        <scheme val="minor"/>
      </rPr>
      <t xml:space="preserve"> très facile, facile, moyen, difficile et très difficile pour chaque question ou sous-questions</t>
    </r>
    <r>
      <rPr>
        <sz val="11"/>
        <color theme="1"/>
        <rFont val="Calibri"/>
        <family val="2"/>
        <scheme val="minor"/>
      </rPr>
      <t>. Ce niveau de difficulté détermine le poids de la correction automatisée. La poids de chaque question de la note finale est déterminé selon le niveau de difficulté.   Aucun demi point ne sera utilisé.  Le score pourra être de 0 à 85 selon la correction automatisé.</t>
    </r>
  </si>
  <si>
    <t>There are 5 levels of difficulty: very easy, easy, medium, hard, and very hard for each question or sub-question. This difficulty level determines the weight of the automated correction. The weight of each question towards the final score is determined based on the difficulty level. No half points will be used. The score can range from 0 to 85 based on the automated correction.</t>
  </si>
  <si>
    <t xml:space="preserve">Very Easy : </t>
  </si>
  <si>
    <t>5 points</t>
  </si>
  <si>
    <t>20 points</t>
  </si>
  <si>
    <t>50 points</t>
  </si>
  <si>
    <t>85 points</t>
  </si>
  <si>
    <t>200 points</t>
  </si>
  <si>
    <t xml:space="preserve">Easy : </t>
  </si>
  <si>
    <t xml:space="preserve">Medium : </t>
  </si>
  <si>
    <t>Hard :</t>
  </si>
  <si>
    <t>Very Hard :</t>
  </si>
  <si>
    <t>This is an all-or-nothing grading. It's 10 points if it's met, 0 otherwise. Certain questions, such as multiple-choice questions, will not check the linter.</t>
  </si>
  <si>
    <t>The possible evaluations will be 0, 5, 10, 15, 20. Certain questions, such as multiple-choice questions, will not check the architecture.</t>
  </si>
  <si>
    <t>The possible evaluations will be 0, 5, 10, 15, 20. Certain questions, such as multiple-choice questions, will not assess performance.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</si>
</sst>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b/>
      <sz val="12"/>
      <color theme="1"/>
      <name val="Calibri"/>
      <family val="2"/>
      <scheme val="minor"/>
    </font>
    <font>
      <b/>
      <sz val="11"/>
      <color theme="1"/>
      <name val="Calibri"/>
      <family val="2"/>
      <scheme val="minor"/>
    </font>
    <font>
      <sz val="8"/>
      <name val="Calibri"/>
      <family val="2"/>
      <scheme val="minor"/>
    </font>
  </fonts>
  <fills count="9">
    <fill>
      <patternFill patternType="none"/>
    </fill>
    <fill>
      <patternFill patternType="gray125"/>
    </fill>
    <fill>
      <patternFill patternType="solid">
        <fgColor theme="2" tint="-9.9978637043366805E-2"/>
        <bgColor indexed="64"/>
      </patternFill>
    </fill>
    <fill>
      <patternFill patternType="solid">
        <fgColor rgb="FFFF99FF"/>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7" tint="0.59999389629810485"/>
        <bgColor indexed="64"/>
      </patternFill>
    </fill>
    <fill>
      <patternFill patternType="solid">
        <fgColor rgb="FFFFFF00"/>
        <bgColor indexed="64"/>
      </patternFill>
    </fill>
    <fill>
      <patternFill patternType="solid">
        <fgColor theme="1" tint="4.9989318521683403E-2"/>
        <bgColor indexed="64"/>
      </patternFill>
    </fill>
  </fills>
  <borders count="36">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thin">
        <color indexed="64"/>
      </top>
      <bottom/>
      <diagonal/>
    </border>
    <border>
      <left style="medium">
        <color indexed="64"/>
      </left>
      <right style="thin">
        <color indexed="64"/>
      </right>
      <top style="thin">
        <color indexed="64"/>
      </top>
      <bottom/>
      <diagonal/>
    </border>
    <border>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bottom style="thin">
        <color indexed="64"/>
      </bottom>
      <diagonal/>
    </border>
    <border>
      <left/>
      <right style="medium">
        <color indexed="64"/>
      </right>
      <top style="thin">
        <color indexed="64"/>
      </top>
      <bottom style="medium">
        <color indexed="64"/>
      </bottom>
      <diagonal/>
    </border>
    <border>
      <left style="medium">
        <color indexed="64"/>
      </left>
      <right style="thin">
        <color indexed="64"/>
      </right>
      <top/>
      <bottom/>
      <diagonal/>
    </border>
    <border>
      <left style="medium">
        <color indexed="64"/>
      </left>
      <right style="thin">
        <color indexed="64"/>
      </right>
      <top style="double">
        <color rgb="FF00B050"/>
      </top>
      <bottom style="thin">
        <color indexed="64"/>
      </bottom>
      <diagonal/>
    </border>
    <border>
      <left style="medium">
        <color indexed="64"/>
      </left>
      <right style="double">
        <color rgb="FF00B050"/>
      </right>
      <top style="double">
        <color rgb="FF00B050"/>
      </top>
      <bottom/>
      <diagonal/>
    </border>
    <border>
      <left style="medium">
        <color indexed="64"/>
      </left>
      <right style="double">
        <color rgb="FF00B050"/>
      </right>
      <top style="double">
        <color rgb="FF00B050"/>
      </top>
      <bottom style="double">
        <color rgb="FF00B050"/>
      </bottom>
      <diagonal/>
    </border>
    <border>
      <left style="medium">
        <color indexed="64"/>
      </left>
      <right style="double">
        <color rgb="FF00B050"/>
      </right>
      <top/>
      <bottom style="double">
        <color rgb="FF00B050"/>
      </bottom>
      <diagonal/>
    </border>
    <border>
      <left style="medium">
        <color indexed="64"/>
      </left>
      <right style="double">
        <color rgb="FF00B050"/>
      </right>
      <top/>
      <bottom/>
      <diagonal/>
    </border>
    <border>
      <left style="medium">
        <color indexed="64"/>
      </left>
      <right/>
      <top/>
      <bottom/>
      <diagonal/>
    </border>
    <border>
      <left style="thin">
        <color indexed="64"/>
      </left>
      <right style="medium">
        <color indexed="64"/>
      </right>
      <top style="thin">
        <color indexed="64"/>
      </top>
      <bottom/>
      <diagonal/>
    </border>
    <border>
      <left style="medium">
        <color indexed="64"/>
      </left>
      <right/>
      <top style="double">
        <color rgb="FF00B050"/>
      </top>
      <bottom style="double">
        <color rgb="FF00B050"/>
      </bottom>
      <diagonal/>
    </border>
    <border>
      <left style="medium">
        <color indexed="64"/>
      </left>
      <right/>
      <top style="double">
        <color rgb="FF00B050"/>
      </top>
      <bottom style="medium">
        <color indexed="64"/>
      </bottom>
      <diagonal/>
    </border>
    <border>
      <left/>
      <right style="medium">
        <color indexed="64"/>
      </right>
      <top/>
      <bottom style="medium">
        <color indexed="64"/>
      </bottom>
      <diagonal/>
    </border>
    <border>
      <left style="medium">
        <color indexed="64"/>
      </left>
      <right style="double">
        <color rgb="FF00B050"/>
      </right>
      <top style="double">
        <color rgb="FF00B050"/>
      </top>
      <bottom style="medium">
        <color indexed="64"/>
      </bottom>
      <diagonal/>
    </border>
    <border>
      <left style="double">
        <color rgb="FF00B050"/>
      </left>
      <right style="medium">
        <color indexed="64"/>
      </right>
      <top style="thin">
        <color indexed="64"/>
      </top>
      <bottom style="medium">
        <color indexed="64"/>
      </bottom>
      <diagonal/>
    </border>
    <border>
      <left style="medium">
        <color indexed="64"/>
      </left>
      <right style="thin">
        <color indexed="64"/>
      </right>
      <top style="thin">
        <color indexed="64"/>
      </top>
      <bottom style="double">
        <color rgb="FF00B050"/>
      </bottom>
      <diagonal/>
    </border>
    <border>
      <left style="medium">
        <color indexed="64"/>
      </left>
      <right/>
      <top/>
      <bottom style="double">
        <color rgb="FF00B050"/>
      </bottom>
      <diagonal/>
    </border>
    <border>
      <left/>
      <right/>
      <top/>
      <bottom style="medium">
        <color indexed="64"/>
      </bottom>
      <diagonal/>
    </border>
  </borders>
  <cellStyleXfs count="1">
    <xf numFmtId="0" fontId="0" fillId="0" borderId="0"/>
  </cellStyleXfs>
  <cellXfs count="75">
    <xf numFmtId="0" fontId="0" fillId="0" borderId="0" xfId="0"/>
    <xf numFmtId="0" fontId="0" fillId="0" borderId="0" xfId="0" applyAlignment="1">
      <alignment horizontal="center"/>
    </xf>
    <xf numFmtId="0" fontId="0" fillId="0" borderId="0" xfId="0" applyAlignment="1">
      <alignment wrapText="1"/>
    </xf>
    <xf numFmtId="0" fontId="0" fillId="0" borderId="0" xfId="0" applyAlignment="1">
      <alignment horizontal="center" wrapText="1"/>
    </xf>
    <xf numFmtId="0" fontId="1" fillId="0" borderId="0" xfId="0" applyFont="1" applyAlignment="1">
      <alignment vertical="center" wrapText="1"/>
    </xf>
    <xf numFmtId="0" fontId="0" fillId="0" borderId="3" xfId="0" applyBorder="1" applyAlignment="1">
      <alignment horizontal="center"/>
    </xf>
    <xf numFmtId="0" fontId="1" fillId="0" borderId="0" xfId="0" applyFont="1" applyAlignment="1">
      <alignment horizontal="center" vertical="center" wrapText="1"/>
    </xf>
    <xf numFmtId="0" fontId="1" fillId="2" borderId="3" xfId="0" applyFont="1" applyFill="1" applyBorder="1" applyAlignment="1">
      <alignment horizontal="center" vertical="center" wrapText="1"/>
    </xf>
    <xf numFmtId="0" fontId="0" fillId="0" borderId="0" xfId="0" applyAlignment="1">
      <alignment horizontal="left" wrapText="1"/>
    </xf>
    <xf numFmtId="0" fontId="2" fillId="3" borderId="0" xfId="0" applyFont="1" applyFill="1" applyAlignment="1">
      <alignment wrapText="1"/>
    </xf>
    <xf numFmtId="0" fontId="2" fillId="4" borderId="0" xfId="0" applyFont="1" applyFill="1" applyAlignment="1">
      <alignment wrapText="1"/>
    </xf>
    <xf numFmtId="0" fontId="2" fillId="5" borderId="0" xfId="0" applyFont="1" applyFill="1" applyAlignment="1">
      <alignment wrapText="1"/>
    </xf>
    <xf numFmtId="0" fontId="2" fillId="6" borderId="0" xfId="0" applyFont="1" applyFill="1" applyAlignment="1">
      <alignment wrapText="1"/>
    </xf>
    <xf numFmtId="0" fontId="2" fillId="0" borderId="0" xfId="0" applyFont="1" applyAlignment="1">
      <alignment wrapText="1"/>
    </xf>
    <xf numFmtId="0" fontId="1" fillId="2" borderId="5" xfId="0" applyFont="1" applyFill="1" applyBorder="1" applyAlignment="1">
      <alignment horizontal="center" vertical="center" wrapText="1"/>
    </xf>
    <xf numFmtId="0" fontId="0" fillId="2" borderId="6" xfId="0" applyFill="1" applyBorder="1" applyAlignment="1">
      <alignment horizontal="center" wrapText="1"/>
    </xf>
    <xf numFmtId="0" fontId="0" fillId="2" borderId="7" xfId="0" applyFill="1" applyBorder="1" applyAlignment="1">
      <alignment horizontal="center" wrapText="1"/>
    </xf>
    <xf numFmtId="0" fontId="1" fillId="2" borderId="8" xfId="0" applyFont="1" applyFill="1" applyBorder="1" applyAlignment="1">
      <alignment horizontal="center" vertical="center" wrapText="1"/>
    </xf>
    <xf numFmtId="0" fontId="1" fillId="2" borderId="1" xfId="0" applyFont="1" applyFill="1" applyBorder="1" applyAlignment="1">
      <alignment horizontal="center" vertical="center" wrapText="1"/>
    </xf>
    <xf numFmtId="0" fontId="1" fillId="3" borderId="1" xfId="0" applyFont="1" applyFill="1" applyBorder="1" applyAlignment="1">
      <alignment horizontal="center" vertical="center" wrapText="1"/>
    </xf>
    <xf numFmtId="0" fontId="0" fillId="2" borderId="6" xfId="0" applyFill="1" applyBorder="1" applyAlignment="1">
      <alignment horizontal="center"/>
    </xf>
    <xf numFmtId="0" fontId="0" fillId="0" borderId="9" xfId="0" applyBorder="1" applyAlignment="1">
      <alignment horizontal="center"/>
    </xf>
    <xf numFmtId="0" fontId="0" fillId="2" borderId="10" xfId="0" applyFill="1" applyBorder="1" applyAlignment="1">
      <alignment horizontal="center"/>
    </xf>
    <xf numFmtId="0" fontId="0" fillId="0" borderId="11" xfId="0" applyBorder="1" applyAlignment="1">
      <alignment horizontal="center"/>
    </xf>
    <xf numFmtId="0" fontId="0" fillId="0" borderId="12" xfId="0" applyBorder="1" applyAlignment="1">
      <alignment horizontal="center"/>
    </xf>
    <xf numFmtId="0" fontId="0" fillId="2" borderId="13" xfId="0" applyFill="1" applyBorder="1" applyAlignment="1">
      <alignment horizontal="center"/>
    </xf>
    <xf numFmtId="0" fontId="0" fillId="0" borderId="2" xfId="0" applyBorder="1" applyAlignment="1">
      <alignment horizontal="center"/>
    </xf>
    <xf numFmtId="0" fontId="0" fillId="0" borderId="4" xfId="0" applyBorder="1" applyAlignment="1">
      <alignment horizontal="center"/>
    </xf>
    <xf numFmtId="0" fontId="0" fillId="2" borderId="14" xfId="0" applyFill="1" applyBorder="1" applyAlignment="1">
      <alignment horizontal="center" wrapText="1"/>
    </xf>
    <xf numFmtId="0" fontId="0" fillId="2" borderId="14" xfId="0" applyFill="1" applyBorder="1" applyAlignment="1">
      <alignment horizontal="center"/>
    </xf>
    <xf numFmtId="0" fontId="0" fillId="0" borderId="15" xfId="0" applyBorder="1" applyAlignment="1">
      <alignment horizontal="center"/>
    </xf>
    <xf numFmtId="0" fontId="0" fillId="2" borderId="16" xfId="0" applyFill="1" applyBorder="1" applyAlignment="1">
      <alignment horizontal="center"/>
    </xf>
    <xf numFmtId="0" fontId="0" fillId="2" borderId="7" xfId="0" applyFill="1" applyBorder="1" applyAlignment="1">
      <alignment horizontal="center"/>
    </xf>
    <xf numFmtId="0" fontId="0" fillId="2" borderId="18" xfId="0" applyFill="1" applyBorder="1" applyAlignment="1">
      <alignment horizontal="center"/>
    </xf>
    <xf numFmtId="0" fontId="2" fillId="2" borderId="10" xfId="0" applyFont="1" applyFill="1" applyBorder="1" applyAlignment="1">
      <alignment horizontal="center"/>
    </xf>
    <xf numFmtId="0" fontId="2" fillId="2" borderId="17" xfId="0" applyFont="1" applyFill="1" applyBorder="1" applyAlignment="1">
      <alignment horizontal="center"/>
    </xf>
    <xf numFmtId="0" fontId="0" fillId="0" borderId="0" xfId="0" applyAlignment="1">
      <alignment horizontal="left" wrapText="1"/>
    </xf>
    <xf numFmtId="0" fontId="0" fillId="0" borderId="0" xfId="0" applyAlignment="1">
      <alignment horizontal="left"/>
    </xf>
    <xf numFmtId="0" fontId="1" fillId="5" borderId="2" xfId="0" applyFont="1" applyFill="1" applyBorder="1" applyAlignment="1">
      <alignment horizontal="center" vertical="center" wrapText="1"/>
    </xf>
    <xf numFmtId="0" fontId="1" fillId="5" borderId="3" xfId="0" applyFont="1" applyFill="1" applyBorder="1" applyAlignment="1">
      <alignment horizontal="center" vertical="center" wrapText="1"/>
    </xf>
    <xf numFmtId="0" fontId="1" fillId="4" borderId="2" xfId="0" applyFont="1" applyFill="1" applyBorder="1" applyAlignment="1">
      <alignment horizontal="center" vertical="center" wrapText="1"/>
    </xf>
    <xf numFmtId="0" fontId="1" fillId="4" borderId="3" xfId="0" applyFont="1" applyFill="1" applyBorder="1" applyAlignment="1">
      <alignment horizontal="center" vertical="center" wrapText="1"/>
    </xf>
    <xf numFmtId="0" fontId="1" fillId="6" borderId="2" xfId="0" applyFont="1" applyFill="1" applyBorder="1" applyAlignment="1">
      <alignment horizontal="center" vertical="center" wrapText="1"/>
    </xf>
    <xf numFmtId="0" fontId="1" fillId="6" borderId="3" xfId="0" applyFont="1" applyFill="1" applyBorder="1" applyAlignment="1">
      <alignment horizontal="center" vertical="center" wrapText="1"/>
    </xf>
    <xf numFmtId="0" fontId="1" fillId="3" borderId="2" xfId="0" applyFont="1" applyFill="1" applyBorder="1" applyAlignment="1">
      <alignment horizontal="center" vertical="center" wrapText="1"/>
    </xf>
    <xf numFmtId="0" fontId="1" fillId="3" borderId="3" xfId="0" applyFont="1" applyFill="1" applyBorder="1" applyAlignment="1">
      <alignment horizontal="center" vertical="center" wrapText="1"/>
    </xf>
    <xf numFmtId="0" fontId="1" fillId="0" borderId="2" xfId="0" applyFont="1" applyBorder="1" applyAlignment="1">
      <alignment horizontal="center" vertical="center" wrapText="1"/>
    </xf>
    <xf numFmtId="0" fontId="1" fillId="0" borderId="3" xfId="0" applyFont="1" applyBorder="1" applyAlignment="1">
      <alignment horizontal="center" vertical="center" wrapText="1"/>
    </xf>
    <xf numFmtId="0" fontId="0" fillId="0" borderId="20" xfId="0" applyBorder="1" applyAlignment="1">
      <alignment horizontal="center"/>
    </xf>
    <xf numFmtId="0" fontId="0" fillId="7" borderId="0" xfId="0" applyFill="1"/>
    <xf numFmtId="0" fontId="0" fillId="0" borderId="21" xfId="0" applyBorder="1" applyAlignment="1">
      <alignment horizontal="center"/>
    </xf>
    <xf numFmtId="0" fontId="0" fillId="0" borderId="12" xfId="0" applyFill="1" applyBorder="1" applyAlignment="1">
      <alignment horizontal="center"/>
    </xf>
    <xf numFmtId="0" fontId="2" fillId="2" borderId="16" xfId="0" applyFont="1" applyFill="1" applyBorder="1" applyAlignment="1">
      <alignment horizontal="center"/>
    </xf>
    <xf numFmtId="0" fontId="2" fillId="2" borderId="18" xfId="0" applyFont="1" applyFill="1" applyBorder="1" applyAlignment="1">
      <alignment horizontal="center"/>
    </xf>
    <xf numFmtId="0" fontId="0" fillId="7" borderId="22" xfId="0" applyFill="1" applyBorder="1" applyAlignment="1">
      <alignment horizontal="center"/>
    </xf>
    <xf numFmtId="0" fontId="0" fillId="7" borderId="23" xfId="0" applyFill="1" applyBorder="1" applyAlignment="1">
      <alignment horizontal="center"/>
    </xf>
    <xf numFmtId="0" fontId="0" fillId="7" borderId="24" xfId="0" applyFill="1" applyBorder="1" applyAlignment="1">
      <alignment horizontal="center"/>
    </xf>
    <xf numFmtId="0" fontId="0" fillId="7" borderId="25" xfId="0" applyFill="1" applyBorder="1" applyAlignment="1">
      <alignment horizontal="center"/>
    </xf>
    <xf numFmtId="0" fontId="0" fillId="7" borderId="26" xfId="0" applyFill="1" applyBorder="1" applyAlignment="1">
      <alignment horizontal="center"/>
    </xf>
    <xf numFmtId="0" fontId="0" fillId="2" borderId="27" xfId="0" applyFill="1" applyBorder="1" applyAlignment="1">
      <alignment horizontal="center"/>
    </xf>
    <xf numFmtId="0" fontId="0" fillId="7" borderId="28" xfId="0" applyFill="1" applyBorder="1" applyAlignment="1">
      <alignment horizontal="center"/>
    </xf>
    <xf numFmtId="0" fontId="0" fillId="7" borderId="29" xfId="0" applyFill="1" applyBorder="1" applyAlignment="1">
      <alignment horizontal="center"/>
    </xf>
    <xf numFmtId="0" fontId="0" fillId="2" borderId="30" xfId="0" applyFill="1" applyBorder="1" applyAlignment="1">
      <alignment horizontal="center"/>
    </xf>
    <xf numFmtId="0" fontId="0" fillId="0" borderId="0" xfId="0" applyBorder="1"/>
    <xf numFmtId="0" fontId="0" fillId="0" borderId="9" xfId="0" applyFill="1" applyBorder="1" applyAlignment="1">
      <alignment horizontal="center"/>
    </xf>
    <xf numFmtId="0" fontId="0" fillId="7" borderId="31" xfId="0" applyFill="1" applyBorder="1" applyAlignment="1">
      <alignment horizontal="center"/>
    </xf>
    <xf numFmtId="0" fontId="2" fillId="2" borderId="19" xfId="0" applyFont="1" applyFill="1" applyBorder="1" applyAlignment="1">
      <alignment horizontal="center"/>
    </xf>
    <xf numFmtId="0" fontId="2" fillId="2" borderId="32" xfId="0" applyFont="1" applyFill="1" applyBorder="1" applyAlignment="1">
      <alignment horizontal="center"/>
    </xf>
    <xf numFmtId="0" fontId="0" fillId="0" borderId="33" xfId="0" applyBorder="1" applyAlignment="1">
      <alignment horizontal="center"/>
    </xf>
    <xf numFmtId="0" fontId="0" fillId="7" borderId="33" xfId="0" applyFill="1" applyBorder="1" applyAlignment="1">
      <alignment horizontal="center"/>
    </xf>
    <xf numFmtId="0" fontId="0" fillId="7" borderId="34" xfId="0" applyFill="1" applyBorder="1" applyAlignment="1">
      <alignment horizontal="center"/>
    </xf>
    <xf numFmtId="0" fontId="1" fillId="0" borderId="1" xfId="0" applyFont="1" applyBorder="1" applyAlignment="1">
      <alignment horizontal="center" vertical="center" wrapText="1"/>
    </xf>
    <xf numFmtId="0" fontId="0" fillId="0" borderId="35" xfId="0" applyBorder="1" applyAlignment="1">
      <alignment horizontal="center" wrapText="1"/>
    </xf>
    <xf numFmtId="0" fontId="0" fillId="8" borderId="0" xfId="0" applyFill="1" applyAlignment="1">
      <alignment wrapText="1"/>
    </xf>
    <xf numFmtId="0" fontId="0" fillId="8" borderId="0" xfId="0" applyFill="1"/>
  </cellXfs>
  <cellStyles count="1">
    <cellStyle name="Normal" xfId="0" builtinId="0"/>
  </cellStyles>
  <dxfs count="0"/>
  <tableStyles count="0" defaultTableStyle="TableStyleMedium2" defaultPivotStyle="PivotStyleLight16"/>
  <colors>
    <mruColors>
      <color rgb="FFFF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styles" Target="styles.xml"/><Relationship Id="rId7" Type="http://schemas.openxmlformats.org/officeDocument/2006/relationships/calcChain" Target="calcChain.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17/10/relationships/person" Target="persons/person.xml"/><Relationship Id="rId11" Type="http://schemas.microsoft.com/office/2006/relationships/vbaProject" Target="vbaProject.bin"/><Relationship Id="rId5" Type="http://schemas.openxmlformats.org/officeDocument/2006/relationships/sheetMetadata" Target="metadata.xml"/><Relationship Id="rId10" Type="http://schemas.openxmlformats.org/officeDocument/2006/relationships/customXml" Target="../customXml/item3.xml"/><Relationship Id="rId4" Type="http://schemas.openxmlformats.org/officeDocument/2006/relationships/sharedStrings" Target="sharedStrings.xml"/><Relationship Id="rId9" Type="http://schemas.openxmlformats.org/officeDocument/2006/relationships/customXml" Target="../customXml/item2.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BF50F7-8804-4D01-A035-680FB8531512}">
  <sheetPr codeName="Sheet1"/>
  <dimension ref="B1:P61"/>
  <sheetViews>
    <sheetView tabSelected="1" topLeftCell="A25" workbookViewId="0">
      <selection activeCell="O16" sqref="O16"/>
    </sheetView>
  </sheetViews>
  <sheetFormatPr defaultColWidth="9.15625" defaultRowHeight="14.4" x14ac:dyDescent="0.55000000000000004"/>
  <cols>
    <col min="2" max="2" width="13.41796875" style="2" customWidth="1"/>
    <col min="3" max="3" width="14.05078125" customWidth="1"/>
    <col min="4" max="4" width="11.26171875" customWidth="1"/>
    <col min="5" max="5" width="10.15625" customWidth="1"/>
    <col min="6" max="6" width="9.41796875" customWidth="1"/>
    <col min="7" max="7" width="9.83984375" customWidth="1"/>
    <col min="8" max="8" width="10" customWidth="1"/>
    <col min="9" max="9" width="10.83984375" customWidth="1"/>
    <col min="10" max="10" width="12" customWidth="1"/>
    <col min="11" max="11" width="11.15625" customWidth="1"/>
    <col min="12" max="12" width="9.15625" customWidth="1"/>
    <col min="13" max="13" width="9.578125" customWidth="1"/>
    <col min="14" max="14" width="14.41796875" customWidth="1"/>
  </cols>
  <sheetData>
    <row r="1" spans="2:16" ht="28.8" x14ac:dyDescent="0.55000000000000004">
      <c r="B1" s="9" t="s">
        <v>0</v>
      </c>
      <c r="C1" s="36" t="s">
        <v>37</v>
      </c>
      <c r="D1" s="36"/>
      <c r="E1" s="36"/>
      <c r="F1" s="36"/>
      <c r="G1" s="36"/>
      <c r="H1" s="36"/>
      <c r="I1" s="36"/>
      <c r="J1" s="36"/>
      <c r="K1" s="36"/>
      <c r="L1" s="36"/>
      <c r="M1" s="36"/>
      <c r="N1" s="36"/>
      <c r="O1" s="36"/>
      <c r="P1" s="36"/>
    </row>
    <row r="2" spans="2:16" x14ac:dyDescent="0.55000000000000004">
      <c r="B2" s="13"/>
      <c r="C2" s="8" t="s">
        <v>1</v>
      </c>
      <c r="D2" s="8" t="s">
        <v>40</v>
      </c>
      <c r="E2" s="8"/>
      <c r="F2" s="8"/>
      <c r="G2" s="8"/>
      <c r="H2" s="8"/>
      <c r="I2" s="8"/>
      <c r="J2" s="8"/>
      <c r="K2" s="8"/>
      <c r="L2" s="8"/>
      <c r="M2" s="8"/>
      <c r="N2" s="8"/>
      <c r="O2" s="8"/>
      <c r="P2" s="8"/>
    </row>
    <row r="3" spans="2:16" x14ac:dyDescent="0.55000000000000004">
      <c r="C3" t="s">
        <v>2</v>
      </c>
      <c r="D3" t="s">
        <v>41</v>
      </c>
    </row>
    <row r="4" spans="2:16" x14ac:dyDescent="0.55000000000000004">
      <c r="C4" t="s">
        <v>3</v>
      </c>
      <c r="D4" t="s">
        <v>42</v>
      </c>
    </row>
    <row r="5" spans="2:16" x14ac:dyDescent="0.55000000000000004">
      <c r="C5" t="s">
        <v>4</v>
      </c>
      <c r="D5" t="s">
        <v>43</v>
      </c>
    </row>
    <row r="6" spans="2:16" x14ac:dyDescent="0.55000000000000004">
      <c r="C6" t="s">
        <v>34</v>
      </c>
      <c r="D6" t="s">
        <v>44</v>
      </c>
    </row>
    <row r="7" spans="2:16" ht="28.8" x14ac:dyDescent="0.55000000000000004">
      <c r="B7" s="11" t="s">
        <v>5</v>
      </c>
      <c r="C7" s="37" t="s">
        <v>6</v>
      </c>
      <c r="D7" s="37"/>
      <c r="E7" s="37"/>
      <c r="F7" s="37"/>
      <c r="G7" s="37"/>
      <c r="H7" s="37"/>
      <c r="I7" s="37"/>
      <c r="J7" s="37"/>
      <c r="K7" s="37"/>
      <c r="L7" s="37"/>
      <c r="M7" s="37"/>
      <c r="N7" s="37"/>
      <c r="O7" s="37"/>
      <c r="P7" s="37"/>
    </row>
    <row r="8" spans="2:16" ht="43.2" x14ac:dyDescent="0.55000000000000004">
      <c r="B8" s="10" t="s">
        <v>7</v>
      </c>
      <c r="C8" s="37" t="s">
        <v>8</v>
      </c>
      <c r="D8" s="37"/>
      <c r="E8" s="37"/>
      <c r="F8" s="37"/>
      <c r="G8" s="37"/>
      <c r="H8" s="37"/>
      <c r="I8" s="37"/>
      <c r="J8" s="37"/>
      <c r="K8" s="37"/>
      <c r="L8" s="37"/>
      <c r="M8" s="37"/>
      <c r="N8" s="37"/>
      <c r="O8" s="37"/>
      <c r="P8" s="37"/>
    </row>
    <row r="9" spans="2:16" x14ac:dyDescent="0.55000000000000004">
      <c r="B9" s="12" t="s">
        <v>9</v>
      </c>
      <c r="C9" s="37" t="s">
        <v>10</v>
      </c>
      <c r="D9" s="37"/>
      <c r="E9" s="37"/>
      <c r="F9" s="37"/>
      <c r="G9" s="37"/>
      <c r="H9" s="37"/>
      <c r="I9" s="37"/>
      <c r="J9" s="37"/>
      <c r="K9" s="37"/>
      <c r="L9" s="37"/>
      <c r="M9" s="37"/>
      <c r="N9" s="37"/>
      <c r="O9" s="37"/>
      <c r="P9" s="37"/>
    </row>
    <row r="10" spans="2:16" s="74" customFormat="1" ht="3.6" customHeight="1" x14ac:dyDescent="0.55000000000000004">
      <c r="B10" s="73"/>
    </row>
    <row r="11" spans="2:16" ht="47.1" customHeight="1" x14ac:dyDescent="0.55000000000000004">
      <c r="B11" s="9" t="s">
        <v>0</v>
      </c>
      <c r="C11" s="36" t="s">
        <v>38</v>
      </c>
      <c r="D11" s="36"/>
      <c r="E11" s="36"/>
      <c r="F11" s="36"/>
      <c r="G11" s="36"/>
      <c r="H11" s="36"/>
      <c r="I11" s="36"/>
      <c r="J11" s="36"/>
      <c r="K11" s="36"/>
      <c r="L11" s="36"/>
      <c r="M11" s="36"/>
      <c r="N11" s="36"/>
      <c r="O11" s="36"/>
      <c r="P11" s="36"/>
    </row>
    <row r="12" spans="2:16" x14ac:dyDescent="0.55000000000000004">
      <c r="B12" s="13"/>
      <c r="C12" s="8" t="s">
        <v>39</v>
      </c>
      <c r="D12" s="8" t="s">
        <v>40</v>
      </c>
      <c r="E12" s="8"/>
      <c r="F12" s="8"/>
      <c r="G12" s="8"/>
      <c r="H12" s="8"/>
      <c r="I12" s="8"/>
      <c r="J12" s="8"/>
      <c r="K12" s="8"/>
      <c r="L12" s="8"/>
      <c r="M12" s="8"/>
      <c r="N12" s="8"/>
      <c r="O12" s="8"/>
      <c r="P12" s="8"/>
    </row>
    <row r="13" spans="2:16" x14ac:dyDescent="0.55000000000000004">
      <c r="C13" t="s">
        <v>45</v>
      </c>
      <c r="D13" t="s">
        <v>41</v>
      </c>
    </row>
    <row r="14" spans="2:16" x14ac:dyDescent="0.55000000000000004">
      <c r="C14" t="s">
        <v>46</v>
      </c>
      <c r="D14" t="s">
        <v>42</v>
      </c>
    </row>
    <row r="15" spans="2:16" x14ac:dyDescent="0.55000000000000004">
      <c r="C15" t="s">
        <v>47</v>
      </c>
      <c r="D15" t="s">
        <v>43</v>
      </c>
    </row>
    <row r="16" spans="2:16" x14ac:dyDescent="0.55000000000000004">
      <c r="C16" t="s">
        <v>48</v>
      </c>
      <c r="D16" t="s">
        <v>44</v>
      </c>
    </row>
    <row r="17" spans="2:16" ht="28.8" x14ac:dyDescent="0.55000000000000004">
      <c r="B17" s="11" t="s">
        <v>5</v>
      </c>
      <c r="C17" s="37" t="s">
        <v>49</v>
      </c>
      <c r="D17" s="37"/>
      <c r="E17" s="37"/>
      <c r="F17" s="37"/>
      <c r="G17" s="37"/>
      <c r="H17" s="37"/>
      <c r="I17" s="37"/>
      <c r="J17" s="37"/>
      <c r="K17" s="37"/>
      <c r="L17" s="37"/>
      <c r="M17" s="37"/>
      <c r="N17" s="37"/>
      <c r="O17" s="37"/>
      <c r="P17" s="37"/>
    </row>
    <row r="18" spans="2:16" ht="43.2" x14ac:dyDescent="0.55000000000000004">
      <c r="B18" s="10" t="s">
        <v>7</v>
      </c>
      <c r="C18" s="37" t="s">
        <v>50</v>
      </c>
      <c r="D18" s="37"/>
      <c r="E18" s="37"/>
      <c r="F18" s="37"/>
      <c r="G18" s="37"/>
      <c r="H18" s="37"/>
      <c r="I18" s="37"/>
      <c r="J18" s="37"/>
      <c r="K18" s="37"/>
      <c r="L18" s="37"/>
      <c r="M18" s="37"/>
      <c r="N18" s="37"/>
      <c r="O18" s="37"/>
      <c r="P18" s="37"/>
    </row>
    <row r="19" spans="2:16" x14ac:dyDescent="0.55000000000000004">
      <c r="B19" s="12" t="s">
        <v>9</v>
      </c>
      <c r="C19" s="37" t="s">
        <v>51</v>
      </c>
      <c r="D19" s="37"/>
      <c r="E19" s="37"/>
      <c r="F19" s="37"/>
      <c r="G19" s="37"/>
      <c r="H19" s="37"/>
      <c r="I19" s="37"/>
      <c r="J19" s="37"/>
      <c r="K19" s="37"/>
      <c r="L19" s="37"/>
      <c r="M19" s="37"/>
      <c r="N19" s="37"/>
      <c r="O19" s="37"/>
      <c r="P19" s="37"/>
    </row>
    <row r="21" spans="2:16" s="2" customFormat="1" ht="14.7" thickBot="1" x14ac:dyDescent="0.6">
      <c r="D21" s="72"/>
      <c r="E21" s="72"/>
    </row>
    <row r="22" spans="2:16" s="4" customFormat="1" ht="47.1" customHeight="1" thickBot="1" x14ac:dyDescent="0.6">
      <c r="B22" s="18" t="s">
        <v>11</v>
      </c>
      <c r="C22" s="19" t="s">
        <v>12</v>
      </c>
      <c r="D22" s="38" t="s">
        <v>13</v>
      </c>
      <c r="E22" s="39"/>
      <c r="F22" s="40" t="s">
        <v>14</v>
      </c>
      <c r="G22" s="41"/>
      <c r="H22" s="42" t="s">
        <v>33</v>
      </c>
      <c r="I22" s="43"/>
      <c r="J22" s="44" t="s">
        <v>15</v>
      </c>
      <c r="K22" s="45"/>
      <c r="L22" s="46" t="s">
        <v>16</v>
      </c>
      <c r="M22" s="47"/>
      <c r="N22" s="6"/>
    </row>
    <row r="23" spans="2:16" s="4" customFormat="1" ht="15.9" thickBot="1" x14ac:dyDescent="0.6">
      <c r="B23" s="17"/>
      <c r="C23" s="14"/>
      <c r="D23" s="71" t="s">
        <v>17</v>
      </c>
      <c r="E23" s="18" t="s">
        <v>18</v>
      </c>
      <c r="F23" s="71" t="s">
        <v>17</v>
      </c>
      <c r="G23" s="18" t="s">
        <v>18</v>
      </c>
      <c r="H23" s="71" t="s">
        <v>17</v>
      </c>
      <c r="I23" s="18" t="s">
        <v>18</v>
      </c>
      <c r="J23" s="71" t="s">
        <v>17</v>
      </c>
      <c r="K23" s="18" t="s">
        <v>19</v>
      </c>
      <c r="L23" s="71" t="s">
        <v>17</v>
      </c>
      <c r="M23" s="7" t="s">
        <v>18</v>
      </c>
      <c r="N23" s="6"/>
    </row>
    <row r="24" spans="2:16" ht="14.7" thickBot="1" x14ac:dyDescent="0.6">
      <c r="B24" s="15">
        <v>1.1000000000000001</v>
      </c>
      <c r="C24" s="20" t="s">
        <v>20</v>
      </c>
      <c r="D24" s="57" t="s">
        <v>21</v>
      </c>
      <c r="E24" s="34" t="s">
        <v>28</v>
      </c>
      <c r="F24" s="57" t="s">
        <v>21</v>
      </c>
      <c r="G24" s="53" t="s">
        <v>22</v>
      </c>
      <c r="H24" s="56" t="s">
        <v>21</v>
      </c>
      <c r="I24" s="53" t="s">
        <v>26</v>
      </c>
      <c r="J24" s="57"/>
      <c r="K24" s="33" t="s">
        <v>22</v>
      </c>
      <c r="L24" s="24">
        <f t="shared" ref="L24:L30" si="0">SUM(D24,F24,H24,J24)</f>
        <v>0</v>
      </c>
      <c r="M24" s="34" cm="1">
        <f t="array" ref="M24">SumNumbers(I24)+SumNumbers(G24)+SumNumbers(K24)+SumNumbers(E24)</f>
        <v>55</v>
      </c>
    </row>
    <row r="25" spans="2:16" ht="15" thickTop="1" thickBot="1" x14ac:dyDescent="0.6">
      <c r="B25" s="15">
        <v>1.2</v>
      </c>
      <c r="C25" s="20" t="s">
        <v>20</v>
      </c>
      <c r="D25" s="54" t="s">
        <v>21</v>
      </c>
      <c r="E25" s="34" t="s">
        <v>28</v>
      </c>
      <c r="F25" s="55" t="s">
        <v>21</v>
      </c>
      <c r="G25" s="53" t="s">
        <v>22</v>
      </c>
      <c r="H25" s="56" t="s">
        <v>21</v>
      </c>
      <c r="I25" s="53" t="s">
        <v>26</v>
      </c>
      <c r="J25" s="55"/>
      <c r="K25" s="33" t="s">
        <v>22</v>
      </c>
      <c r="L25" s="24">
        <f t="shared" si="0"/>
        <v>0</v>
      </c>
      <c r="M25" s="34" cm="1">
        <f t="array" ref="M25">SumNumbers(I25)+SumNumbers(G25)+SumNumbers(K25)+SumNumbers(E25)</f>
        <v>55</v>
      </c>
    </row>
    <row r="26" spans="2:16" ht="15" thickTop="1" thickBot="1" x14ac:dyDescent="0.6">
      <c r="B26" s="15">
        <v>1.3</v>
      </c>
      <c r="C26" s="20" t="s">
        <v>20</v>
      </c>
      <c r="D26" s="55" t="s">
        <v>21</v>
      </c>
      <c r="E26" s="34" t="s">
        <v>28</v>
      </c>
      <c r="F26" s="24" t="s">
        <v>24</v>
      </c>
      <c r="G26" s="25" t="s">
        <v>24</v>
      </c>
      <c r="H26" s="24" t="s">
        <v>24</v>
      </c>
      <c r="I26" s="25" t="s">
        <v>24</v>
      </c>
      <c r="J26" s="55"/>
      <c r="K26" s="33" t="s">
        <v>22</v>
      </c>
      <c r="L26" s="24">
        <f t="shared" si="0"/>
        <v>0</v>
      </c>
      <c r="M26" s="34" cm="1">
        <f t="array" ref="M26">SumNumbers(I26)+SumNumbers(G26)+SumNumbers(K26)+SumNumbers(E26)</f>
        <v>30</v>
      </c>
    </row>
    <row r="27" spans="2:16" ht="15" thickTop="1" thickBot="1" x14ac:dyDescent="0.6">
      <c r="B27" s="15">
        <v>1.4</v>
      </c>
      <c r="C27" s="20" t="s">
        <v>20</v>
      </c>
      <c r="D27" s="55" t="s">
        <v>21</v>
      </c>
      <c r="E27" s="34" t="s">
        <v>28</v>
      </c>
      <c r="F27" s="24" t="s">
        <v>24</v>
      </c>
      <c r="G27" s="25" t="s">
        <v>24</v>
      </c>
      <c r="H27" s="24" t="s">
        <v>24</v>
      </c>
      <c r="I27" s="25" t="s">
        <v>24</v>
      </c>
      <c r="J27" s="55"/>
      <c r="K27" s="33" t="s">
        <v>22</v>
      </c>
      <c r="L27" s="24">
        <f t="shared" si="0"/>
        <v>0</v>
      </c>
      <c r="M27" s="34" cm="1">
        <f t="array" ref="M27">SumNumbers(I27)+SumNumbers(G27)+SumNumbers(K27)+SumNumbers(E27)</f>
        <v>30</v>
      </c>
    </row>
    <row r="28" spans="2:16" ht="15" thickTop="1" thickBot="1" x14ac:dyDescent="0.6">
      <c r="B28" s="15">
        <v>1.5</v>
      </c>
      <c r="C28" s="20" t="s">
        <v>20</v>
      </c>
      <c r="D28" s="24" t="s">
        <v>25</v>
      </c>
      <c r="E28" s="22" t="s">
        <v>24</v>
      </c>
      <c r="F28" s="24" t="s">
        <v>24</v>
      </c>
      <c r="G28" s="25" t="s">
        <v>24</v>
      </c>
      <c r="H28" s="24" t="s">
        <v>24</v>
      </c>
      <c r="I28" s="25" t="s">
        <v>24</v>
      </c>
      <c r="J28" s="56"/>
      <c r="K28" s="33" t="s">
        <v>26</v>
      </c>
      <c r="L28" s="24">
        <f t="shared" si="0"/>
        <v>0</v>
      </c>
      <c r="M28" s="34" cm="1">
        <f t="array" ref="M28">SumNumbers(I28)+SumNumbers(G28)+SumNumbers(K28)+SumNumbers(E28)</f>
        <v>5</v>
      </c>
    </row>
    <row r="29" spans="2:16" ht="15" thickTop="1" thickBot="1" x14ac:dyDescent="0.6">
      <c r="B29" s="15">
        <v>1.6</v>
      </c>
      <c r="C29" s="20" t="s">
        <v>20</v>
      </c>
      <c r="D29" s="24" t="s">
        <v>25</v>
      </c>
      <c r="E29" s="22" t="s">
        <v>24</v>
      </c>
      <c r="F29" s="24" t="s">
        <v>24</v>
      </c>
      <c r="G29" s="25" t="s">
        <v>24</v>
      </c>
      <c r="H29" s="51" t="s">
        <v>24</v>
      </c>
      <c r="I29" s="25" t="s">
        <v>24</v>
      </c>
      <c r="J29" s="55"/>
      <c r="K29" s="33" t="s">
        <v>26</v>
      </c>
      <c r="L29" s="24">
        <f t="shared" si="0"/>
        <v>0</v>
      </c>
      <c r="M29" s="34" cm="1">
        <f t="array" ref="M29">SumNumbers(I29)+SumNumbers(G29)+SumNumbers(K29)+SumNumbers(E29)</f>
        <v>5</v>
      </c>
    </row>
    <row r="30" spans="2:16" ht="15" thickTop="1" thickBot="1" x14ac:dyDescent="0.6">
      <c r="B30" s="15">
        <v>2.1</v>
      </c>
      <c r="C30" s="20" t="s">
        <v>27</v>
      </c>
      <c r="D30" s="21" t="s">
        <v>25</v>
      </c>
      <c r="E30" s="22" t="s">
        <v>24</v>
      </c>
      <c r="F30" s="21" t="s">
        <v>24</v>
      </c>
      <c r="G30" s="22" t="s">
        <v>24</v>
      </c>
      <c r="H30" s="21" t="s">
        <v>24</v>
      </c>
      <c r="I30" s="22" t="s">
        <v>24</v>
      </c>
      <c r="J30" s="56"/>
      <c r="K30" s="31" t="s">
        <v>26</v>
      </c>
      <c r="L30" s="21">
        <f t="shared" si="0"/>
        <v>0</v>
      </c>
      <c r="M30" s="34" cm="1">
        <f t="array" ref="M30">SumNumbers(I30)+SumNumbers(G30)+SumNumbers(K30)+SumNumbers(E30)</f>
        <v>5</v>
      </c>
    </row>
    <row r="31" spans="2:16" ht="15" thickTop="1" thickBot="1" x14ac:dyDescent="0.6">
      <c r="B31" s="15">
        <v>2.2000000000000002</v>
      </c>
      <c r="C31" s="20" t="s">
        <v>27</v>
      </c>
      <c r="D31" s="21" t="s">
        <v>25</v>
      </c>
      <c r="E31" s="22" t="s">
        <v>24</v>
      </c>
      <c r="F31" s="21" t="s">
        <v>24</v>
      </c>
      <c r="G31" s="22" t="s">
        <v>24</v>
      </c>
      <c r="H31" s="21" t="s">
        <v>24</v>
      </c>
      <c r="I31" s="22" t="s">
        <v>24</v>
      </c>
      <c r="J31" s="55"/>
      <c r="K31" s="31" t="s">
        <v>26</v>
      </c>
      <c r="L31" s="21">
        <f t="shared" ref="L31:L53" si="1">SUM(D31,F31,H31,J31)</f>
        <v>0</v>
      </c>
      <c r="M31" s="34" cm="1">
        <f t="array" ref="M31">SumNumbers(I31)+SumNumbers(G31)+SumNumbers(K31)+SumNumbers(E31)</f>
        <v>5</v>
      </c>
    </row>
    <row r="32" spans="2:16" ht="15" thickTop="1" thickBot="1" x14ac:dyDescent="0.6">
      <c r="B32" s="15">
        <v>2.2999999999999998</v>
      </c>
      <c r="C32" s="20" t="s">
        <v>27</v>
      </c>
      <c r="D32" s="21" t="s">
        <v>25</v>
      </c>
      <c r="E32" s="22" t="s">
        <v>24</v>
      </c>
      <c r="F32" s="21" t="s">
        <v>24</v>
      </c>
      <c r="G32" s="22" t="s">
        <v>24</v>
      </c>
      <c r="H32" s="21" t="s">
        <v>24</v>
      </c>
      <c r="I32" s="22" t="s">
        <v>24</v>
      </c>
      <c r="J32" s="55"/>
      <c r="K32" s="31" t="s">
        <v>26</v>
      </c>
      <c r="L32" s="21">
        <f t="shared" si="1"/>
        <v>0</v>
      </c>
      <c r="M32" s="34" cm="1">
        <f t="array" ref="M32">SumNumbers(I32)+SumNumbers(G32)+SumNumbers(K32)+SumNumbers(E32)</f>
        <v>5</v>
      </c>
    </row>
    <row r="33" spans="2:13" ht="15" thickTop="1" thickBot="1" x14ac:dyDescent="0.6">
      <c r="B33" s="15">
        <v>2.4</v>
      </c>
      <c r="C33" s="20" t="s">
        <v>27</v>
      </c>
      <c r="D33" s="21" t="s">
        <v>25</v>
      </c>
      <c r="E33" s="22" t="s">
        <v>24</v>
      </c>
      <c r="F33" s="21" t="s">
        <v>24</v>
      </c>
      <c r="G33" s="25" t="s">
        <v>24</v>
      </c>
      <c r="H33" s="21" t="s">
        <v>24</v>
      </c>
      <c r="I33" s="25" t="s">
        <v>24</v>
      </c>
      <c r="J33" s="55"/>
      <c r="K33" s="33" t="s">
        <v>26</v>
      </c>
      <c r="L33" s="21">
        <f t="shared" si="1"/>
        <v>0</v>
      </c>
      <c r="M33" s="34" cm="1">
        <f t="array" ref="M33">SumNumbers(I33)+SumNumbers(G33)+SumNumbers(K33)+SumNumbers(E33)</f>
        <v>5</v>
      </c>
    </row>
    <row r="34" spans="2:13" ht="15" thickTop="1" thickBot="1" x14ac:dyDescent="0.6">
      <c r="B34" s="15">
        <v>2.5</v>
      </c>
      <c r="C34" s="20" t="s">
        <v>27</v>
      </c>
      <c r="D34" s="30" t="s">
        <v>25</v>
      </c>
      <c r="E34" s="22" t="s">
        <v>24</v>
      </c>
      <c r="F34" s="21" t="s">
        <v>24</v>
      </c>
      <c r="G34" s="25" t="s">
        <v>24</v>
      </c>
      <c r="H34" s="30" t="s">
        <v>24</v>
      </c>
      <c r="I34" s="25" t="s">
        <v>24</v>
      </c>
      <c r="J34" s="55"/>
      <c r="K34" s="33" t="s">
        <v>26</v>
      </c>
      <c r="L34" s="21">
        <f t="shared" si="1"/>
        <v>0</v>
      </c>
      <c r="M34" s="34" cm="1">
        <f t="array" ref="M34">SumNumbers(I34)+SumNumbers(G34)+SumNumbers(K34)+SumNumbers(E34)</f>
        <v>5</v>
      </c>
    </row>
    <row r="35" spans="2:13" ht="15" thickTop="1" thickBot="1" x14ac:dyDescent="0.6">
      <c r="B35" s="15">
        <v>3.1</v>
      </c>
      <c r="C35" s="20" t="s">
        <v>23</v>
      </c>
      <c r="D35" s="55" t="s">
        <v>21</v>
      </c>
      <c r="E35" s="52" t="s">
        <v>28</v>
      </c>
      <c r="F35" s="21" t="s">
        <v>24</v>
      </c>
      <c r="G35" s="25" t="s">
        <v>24</v>
      </c>
      <c r="H35" s="30" t="s">
        <v>24</v>
      </c>
      <c r="I35" s="25" t="s">
        <v>24</v>
      </c>
      <c r="J35" s="55"/>
      <c r="K35" s="33" t="s">
        <v>29</v>
      </c>
      <c r="L35" s="21">
        <f>SUM(D35,F35,H35,J35)</f>
        <v>0</v>
      </c>
      <c r="M35" s="34" cm="1">
        <f t="array" ref="M35">SumNumbers(I35)+SumNumbers(G35)+SumNumbers(K35)+SumNumbers(E35)</f>
        <v>60</v>
      </c>
    </row>
    <row r="36" spans="2:13" ht="15" thickTop="1" thickBot="1" x14ac:dyDescent="0.6">
      <c r="B36" s="15">
        <v>3.2</v>
      </c>
      <c r="C36" s="20" t="s">
        <v>27</v>
      </c>
      <c r="D36" s="48" t="s">
        <v>25</v>
      </c>
      <c r="E36" s="22" t="s">
        <v>24</v>
      </c>
      <c r="F36" s="21" t="s">
        <v>24</v>
      </c>
      <c r="G36" s="25" t="s">
        <v>24</v>
      </c>
      <c r="H36" s="55" t="s">
        <v>21</v>
      </c>
      <c r="I36" s="53" t="s">
        <v>22</v>
      </c>
      <c r="J36" s="55"/>
      <c r="K36" s="33" t="s">
        <v>26</v>
      </c>
      <c r="L36" s="21">
        <f t="shared" si="1"/>
        <v>0</v>
      </c>
      <c r="M36" s="34" cm="1">
        <f t="array" ref="M36">SumNumbers(I36)+SumNumbers(G36)+SumNumbers(K36)+SumNumbers(E36)</f>
        <v>25</v>
      </c>
    </row>
    <row r="37" spans="2:13" ht="15" thickTop="1" thickBot="1" x14ac:dyDescent="0.6">
      <c r="B37" s="15">
        <v>4.0999999999999996</v>
      </c>
      <c r="C37" s="20" t="s">
        <v>27</v>
      </c>
      <c r="D37" s="24" t="s">
        <v>25</v>
      </c>
      <c r="E37" s="22" t="s">
        <v>24</v>
      </c>
      <c r="F37" s="21" t="s">
        <v>24</v>
      </c>
      <c r="G37" s="25" t="s">
        <v>24</v>
      </c>
      <c r="H37" s="50" t="s">
        <v>24</v>
      </c>
      <c r="I37" s="25" t="s">
        <v>24</v>
      </c>
      <c r="J37" s="56"/>
      <c r="K37" s="33" t="s">
        <v>26</v>
      </c>
      <c r="L37" s="21">
        <f>SUM(D37,F37,H37,J37)</f>
        <v>0</v>
      </c>
      <c r="M37" s="34" cm="1">
        <f t="array" ref="M37">SumNumbers(I37)+SumNumbers(G37)+SumNumbers(K37)+SumNumbers(E37)</f>
        <v>5</v>
      </c>
    </row>
    <row r="38" spans="2:13" ht="15" thickTop="1" thickBot="1" x14ac:dyDescent="0.6">
      <c r="B38" s="15">
        <v>4.2</v>
      </c>
      <c r="C38" s="20" t="s">
        <v>27</v>
      </c>
      <c r="D38" s="21" t="s">
        <v>25</v>
      </c>
      <c r="E38" s="22" t="s">
        <v>24</v>
      </c>
      <c r="F38" s="21" t="s">
        <v>24</v>
      </c>
      <c r="G38" s="25" t="s">
        <v>24</v>
      </c>
      <c r="H38" s="21" t="s">
        <v>24</v>
      </c>
      <c r="I38" s="25" t="s">
        <v>24</v>
      </c>
      <c r="J38" s="55"/>
      <c r="K38" s="33" t="s">
        <v>26</v>
      </c>
      <c r="L38" s="21">
        <f>SUM(D38,F38,H38,J38)</f>
        <v>0</v>
      </c>
      <c r="M38" s="34" cm="1">
        <f t="array" ref="M38">SumNumbers(I38)+SumNumbers(G38)+SumNumbers(K38)+SumNumbers(E38)</f>
        <v>5</v>
      </c>
    </row>
    <row r="39" spans="2:13" ht="15" thickTop="1" thickBot="1" x14ac:dyDescent="0.6">
      <c r="B39" s="15">
        <v>4.3</v>
      </c>
      <c r="C39" s="20" t="s">
        <v>27</v>
      </c>
      <c r="D39" s="21" t="s">
        <v>25</v>
      </c>
      <c r="E39" s="22" t="s">
        <v>24</v>
      </c>
      <c r="F39" s="21" t="s">
        <v>24</v>
      </c>
      <c r="G39" s="25" t="s">
        <v>24</v>
      </c>
      <c r="H39" s="21" t="s">
        <v>24</v>
      </c>
      <c r="I39" s="25" t="s">
        <v>24</v>
      </c>
      <c r="J39" s="55"/>
      <c r="K39" s="33" t="s">
        <v>26</v>
      </c>
      <c r="L39" s="21">
        <f>SUM(D39,F39,H39,J39)</f>
        <v>0</v>
      </c>
      <c r="M39" s="34" cm="1">
        <f t="array" ref="M39">SumNumbers(I39)+SumNumbers(G39)+SumNumbers(K39)+SumNumbers(E39)</f>
        <v>5</v>
      </c>
    </row>
    <row r="40" spans="2:13" ht="15" thickTop="1" thickBot="1" x14ac:dyDescent="0.6">
      <c r="B40" s="15">
        <v>4.4000000000000004</v>
      </c>
      <c r="C40" s="20" t="s">
        <v>27</v>
      </c>
      <c r="D40" s="21" t="s">
        <v>25</v>
      </c>
      <c r="E40" s="34" t="s">
        <v>24</v>
      </c>
      <c r="F40" s="21" t="s">
        <v>24</v>
      </c>
      <c r="G40" s="25" t="s">
        <v>24</v>
      </c>
      <c r="H40" s="21" t="s">
        <v>24</v>
      </c>
      <c r="I40" s="25" t="s">
        <v>24</v>
      </c>
      <c r="J40" s="56"/>
      <c r="K40" s="33" t="s">
        <v>26</v>
      </c>
      <c r="L40" s="21">
        <f>SUM(D40,F40,H40,J40)</f>
        <v>0</v>
      </c>
      <c r="M40" s="34" cm="1">
        <f t="array" ref="M40">SumNumbers(I40)+SumNumbers(G40)+SumNumbers(K40)+SumNumbers(E40)</f>
        <v>5</v>
      </c>
    </row>
    <row r="41" spans="2:13" ht="15" thickTop="1" thickBot="1" x14ac:dyDescent="0.6">
      <c r="B41" s="15">
        <v>4.5</v>
      </c>
      <c r="C41" s="20" t="s">
        <v>27</v>
      </c>
      <c r="D41" s="21" t="s">
        <v>25</v>
      </c>
      <c r="E41" s="22" t="s">
        <v>24</v>
      </c>
      <c r="F41" s="21" t="s">
        <v>24</v>
      </c>
      <c r="G41" s="25" t="s">
        <v>24</v>
      </c>
      <c r="H41" s="21" t="s">
        <v>24</v>
      </c>
      <c r="I41" s="25" t="s">
        <v>24</v>
      </c>
      <c r="J41" s="55"/>
      <c r="K41" s="33" t="s">
        <v>26</v>
      </c>
      <c r="L41" s="21">
        <f t="shared" si="1"/>
        <v>0</v>
      </c>
      <c r="M41" s="34" cm="1">
        <f t="array" ref="M41">SumNumbers(I41)+SumNumbers(G41)+SumNumbers(K41)+SumNumbers(E41)</f>
        <v>5</v>
      </c>
    </row>
    <row r="42" spans="2:13" ht="15" thickTop="1" thickBot="1" x14ac:dyDescent="0.6">
      <c r="B42" s="15">
        <v>5.0999999999999996</v>
      </c>
      <c r="C42" s="20" t="s">
        <v>27</v>
      </c>
      <c r="D42" s="30" t="s">
        <v>25</v>
      </c>
      <c r="E42" s="22" t="s">
        <v>24</v>
      </c>
      <c r="F42" s="30" t="s">
        <v>24</v>
      </c>
      <c r="G42" s="25" t="s">
        <v>24</v>
      </c>
      <c r="H42" s="21" t="s">
        <v>24</v>
      </c>
      <c r="I42" s="25" t="s">
        <v>24</v>
      </c>
      <c r="J42" s="55"/>
      <c r="K42" s="33" t="s">
        <v>26</v>
      </c>
      <c r="L42" s="21">
        <f t="shared" si="1"/>
        <v>0</v>
      </c>
      <c r="M42" s="34" cm="1">
        <f t="array" ref="M42">SumNumbers(I42)+SumNumbers(G42)+SumNumbers(K42)+SumNumbers(E42)</f>
        <v>5</v>
      </c>
    </row>
    <row r="43" spans="2:13" ht="15" thickTop="1" thickBot="1" x14ac:dyDescent="0.6">
      <c r="B43" s="15">
        <v>5.2</v>
      </c>
      <c r="C43" s="20" t="s">
        <v>27</v>
      </c>
      <c r="D43" s="55" t="s">
        <v>21</v>
      </c>
      <c r="E43" s="52" t="s">
        <v>28</v>
      </c>
      <c r="F43" s="55" t="s">
        <v>21</v>
      </c>
      <c r="G43" s="53" t="s">
        <v>22</v>
      </c>
      <c r="H43" s="21" t="s">
        <v>24</v>
      </c>
      <c r="I43" s="25" t="s">
        <v>24</v>
      </c>
      <c r="J43" s="55"/>
      <c r="K43" s="33" t="s">
        <v>26</v>
      </c>
      <c r="L43" s="21">
        <f t="shared" si="1"/>
        <v>0</v>
      </c>
      <c r="M43" s="34" cm="1">
        <f t="array" ref="M43">SumNumbers(I43)+SumNumbers(G43)+SumNumbers(K43)+SumNumbers(E43)</f>
        <v>35</v>
      </c>
    </row>
    <row r="44" spans="2:13" ht="15" thickTop="1" thickBot="1" x14ac:dyDescent="0.6">
      <c r="B44" s="15">
        <v>5.3</v>
      </c>
      <c r="C44" s="20" t="s">
        <v>27</v>
      </c>
      <c r="D44" s="24" t="s">
        <v>25</v>
      </c>
      <c r="E44" s="22" t="s">
        <v>24</v>
      </c>
      <c r="F44" s="24" t="s">
        <v>24</v>
      </c>
      <c r="G44" s="25" t="s">
        <v>24</v>
      </c>
      <c r="H44" s="21" t="s">
        <v>24</v>
      </c>
      <c r="I44" s="25" t="s">
        <v>24</v>
      </c>
      <c r="J44" s="57"/>
      <c r="K44" s="33" t="s">
        <v>26</v>
      </c>
      <c r="L44" s="21">
        <f t="shared" si="1"/>
        <v>0</v>
      </c>
      <c r="M44" s="34" cm="1">
        <f t="array" ref="M44">SumNumbers(I44)+SumNumbers(G44)+SumNumbers(K44)+SumNumbers(E44)</f>
        <v>5</v>
      </c>
    </row>
    <row r="45" spans="2:13" ht="15" thickTop="1" thickBot="1" x14ac:dyDescent="0.6">
      <c r="B45" s="15">
        <v>5.4</v>
      </c>
      <c r="C45" s="20" t="s">
        <v>23</v>
      </c>
      <c r="D45" s="30" t="s">
        <v>25</v>
      </c>
      <c r="E45" s="22" t="s">
        <v>24</v>
      </c>
      <c r="F45" s="30" t="s">
        <v>24</v>
      </c>
      <c r="G45" s="25" t="s">
        <v>24</v>
      </c>
      <c r="H45" s="21" t="s">
        <v>24</v>
      </c>
      <c r="I45" s="25" t="s">
        <v>24</v>
      </c>
      <c r="J45" s="54"/>
      <c r="K45" s="33" t="s">
        <v>29</v>
      </c>
      <c r="L45" s="21">
        <f t="shared" si="1"/>
        <v>0</v>
      </c>
      <c r="M45" s="34" cm="1">
        <f t="array" ref="M45">SumNumbers(I45)+SumNumbers(G45)+SumNumbers(K45)+SumNumbers(E45)</f>
        <v>50</v>
      </c>
    </row>
    <row r="46" spans="2:13" ht="15" thickTop="1" thickBot="1" x14ac:dyDescent="0.6">
      <c r="B46" s="15">
        <v>6</v>
      </c>
      <c r="C46" s="20" t="s">
        <v>30</v>
      </c>
      <c r="D46" s="55" t="s">
        <v>21</v>
      </c>
      <c r="E46" s="52" t="s">
        <v>28</v>
      </c>
      <c r="F46" s="55" t="s">
        <v>21</v>
      </c>
      <c r="G46" s="53" t="s">
        <v>22</v>
      </c>
      <c r="H46" s="21" t="s">
        <v>24</v>
      </c>
      <c r="I46" s="25" t="s">
        <v>24</v>
      </c>
      <c r="J46" s="55"/>
      <c r="K46" s="33" t="s">
        <v>31</v>
      </c>
      <c r="L46" s="21">
        <f t="shared" si="1"/>
        <v>0</v>
      </c>
      <c r="M46" s="34" cm="1">
        <f t="array" ref="M46">SumNumbers(I46)+SumNumbers(G46)+SumNumbers(K46)+SumNumbers(E46)</f>
        <v>115</v>
      </c>
    </row>
    <row r="47" spans="2:13" ht="15" thickTop="1" thickBot="1" x14ac:dyDescent="0.6">
      <c r="B47" s="15">
        <v>7.1</v>
      </c>
      <c r="C47" s="20" t="s">
        <v>23</v>
      </c>
      <c r="D47" s="24" t="s">
        <v>25</v>
      </c>
      <c r="E47" s="22" t="s">
        <v>24</v>
      </c>
      <c r="F47" s="24" t="s">
        <v>24</v>
      </c>
      <c r="G47" s="25" t="s">
        <v>24</v>
      </c>
      <c r="H47" s="21" t="s">
        <v>24</v>
      </c>
      <c r="I47" s="25" t="s">
        <v>24</v>
      </c>
      <c r="J47" s="55"/>
      <c r="K47" s="33" t="s">
        <v>29</v>
      </c>
      <c r="L47" s="21">
        <f t="shared" si="1"/>
        <v>0</v>
      </c>
      <c r="M47" s="34" cm="1">
        <f t="array" ref="M47">SumNumbers(I47)+SumNumbers(G47)+SumNumbers(K47)+SumNumbers(E47)</f>
        <v>50</v>
      </c>
    </row>
    <row r="48" spans="2:13" ht="15" thickTop="1" thickBot="1" x14ac:dyDescent="0.6">
      <c r="B48" s="15">
        <v>7.2</v>
      </c>
      <c r="C48" s="20" t="s">
        <v>27</v>
      </c>
      <c r="D48" s="21" t="s">
        <v>25</v>
      </c>
      <c r="E48" s="22" t="s">
        <v>24</v>
      </c>
      <c r="F48" s="21" t="s">
        <v>24</v>
      </c>
      <c r="G48" s="33" t="s">
        <v>24</v>
      </c>
      <c r="H48" s="21" t="s">
        <v>24</v>
      </c>
      <c r="I48" s="25" t="s">
        <v>24</v>
      </c>
      <c r="J48" s="57"/>
      <c r="K48" s="33" t="s">
        <v>26</v>
      </c>
      <c r="L48" s="21">
        <f t="shared" si="1"/>
        <v>0</v>
      </c>
      <c r="M48" s="34" cm="1">
        <f t="array" ref="M48">SumNumbers(I48)+SumNumbers(G48)+SumNumbers(K48)+SumNumbers(E48)</f>
        <v>5</v>
      </c>
    </row>
    <row r="49" spans="2:15" ht="15" thickTop="1" thickBot="1" x14ac:dyDescent="0.6">
      <c r="B49" s="15">
        <v>7.3</v>
      </c>
      <c r="C49" s="20" t="s">
        <v>27</v>
      </c>
      <c r="D49" s="21" t="s">
        <v>25</v>
      </c>
      <c r="E49" s="22" t="s">
        <v>24</v>
      </c>
      <c r="F49" s="21" t="s">
        <v>24</v>
      </c>
      <c r="G49" s="33" t="s">
        <v>24</v>
      </c>
      <c r="H49" s="21" t="s">
        <v>24</v>
      </c>
      <c r="I49" s="22" t="s">
        <v>24</v>
      </c>
      <c r="J49" s="55"/>
      <c r="K49" s="33" t="s">
        <v>26</v>
      </c>
      <c r="L49" s="21">
        <f t="shared" si="1"/>
        <v>0</v>
      </c>
      <c r="M49" s="34" cm="1">
        <f t="array" ref="M49">SumNumbers(I49)+SumNumbers(G49)+SumNumbers(K49)+SumNumbers(E49)</f>
        <v>5</v>
      </c>
    </row>
    <row r="50" spans="2:15" ht="15" thickTop="1" thickBot="1" x14ac:dyDescent="0.6">
      <c r="B50" s="15">
        <v>7.4</v>
      </c>
      <c r="C50" s="20" t="s">
        <v>27</v>
      </c>
      <c r="D50" s="21" t="s">
        <v>25</v>
      </c>
      <c r="E50" s="22" t="s">
        <v>24</v>
      </c>
      <c r="F50" s="21" t="s">
        <v>24</v>
      </c>
      <c r="G50" s="33" t="s">
        <v>24</v>
      </c>
      <c r="H50" s="21" t="s">
        <v>24</v>
      </c>
      <c r="I50" s="22" t="s">
        <v>24</v>
      </c>
      <c r="J50" s="58"/>
      <c r="K50" s="59" t="s">
        <v>26</v>
      </c>
      <c r="L50" s="21">
        <f t="shared" si="1"/>
        <v>0</v>
      </c>
      <c r="M50" s="34" cm="1">
        <f t="array" ref="M50">SumNumbers(I50)+SumNumbers(G50)+SumNumbers(K50)+SumNumbers(E50)</f>
        <v>5</v>
      </c>
    </row>
    <row r="51" spans="2:15" ht="15" thickTop="1" thickBot="1" x14ac:dyDescent="0.6">
      <c r="B51" s="28">
        <v>7.5</v>
      </c>
      <c r="C51" s="29" t="s">
        <v>27</v>
      </c>
      <c r="D51" s="30" t="s">
        <v>25</v>
      </c>
      <c r="E51" s="22" t="s">
        <v>24</v>
      </c>
      <c r="F51" s="21" t="s">
        <v>24</v>
      </c>
      <c r="G51" s="33" t="s">
        <v>24</v>
      </c>
      <c r="H51" s="21" t="s">
        <v>24</v>
      </c>
      <c r="I51" s="22" t="s">
        <v>24</v>
      </c>
      <c r="J51" s="60"/>
      <c r="K51" s="22" t="s">
        <v>26</v>
      </c>
      <c r="L51" s="21">
        <f t="shared" si="1"/>
        <v>0</v>
      </c>
      <c r="M51" s="34" cm="1">
        <f t="array" ref="M51">SumNumbers(I51)+SumNumbers(G51)+SumNumbers(K51)+SumNumbers(E51)</f>
        <v>5</v>
      </c>
    </row>
    <row r="52" spans="2:15" ht="15" thickTop="1" thickBot="1" x14ac:dyDescent="0.6">
      <c r="B52" s="28">
        <v>7.6</v>
      </c>
      <c r="C52" s="29" t="s">
        <v>27</v>
      </c>
      <c r="D52" s="68" t="s">
        <v>25</v>
      </c>
      <c r="E52" s="31" t="s">
        <v>24</v>
      </c>
      <c r="F52" s="21" t="s">
        <v>24</v>
      </c>
      <c r="G52" s="33" t="s">
        <v>24</v>
      </c>
      <c r="H52" s="21" t="s">
        <v>24</v>
      </c>
      <c r="I52" s="22" t="s">
        <v>24</v>
      </c>
      <c r="J52" s="60"/>
      <c r="K52" s="25" t="s">
        <v>26</v>
      </c>
      <c r="L52" s="21">
        <f t="shared" si="1"/>
        <v>0</v>
      </c>
      <c r="M52" s="34" cm="1">
        <f t="array" ref="M52">SumNumbers(I52)+SumNumbers(G52)+SumNumbers(K52)+SumNumbers(E52)</f>
        <v>5</v>
      </c>
    </row>
    <row r="53" spans="2:15" ht="15" thickTop="1" thickBot="1" x14ac:dyDescent="0.6">
      <c r="B53" s="28">
        <v>8.1</v>
      </c>
      <c r="C53" s="29" t="s">
        <v>27</v>
      </c>
      <c r="D53" s="69" t="s">
        <v>21</v>
      </c>
      <c r="E53" s="52" t="s">
        <v>28</v>
      </c>
      <c r="F53" s="21" t="s">
        <v>24</v>
      </c>
      <c r="G53" s="33" t="s">
        <v>24</v>
      </c>
      <c r="H53" s="21" t="s">
        <v>24</v>
      </c>
      <c r="I53" s="22" t="s">
        <v>24</v>
      </c>
      <c r="J53" s="60"/>
      <c r="K53" s="22" t="s">
        <v>26</v>
      </c>
      <c r="L53" s="21">
        <f t="shared" si="1"/>
        <v>0</v>
      </c>
      <c r="M53" s="34" cm="1">
        <f t="array" ref="M53">SumNumbers(I53)+SumNumbers(G53)+SumNumbers(K53)+SumNumbers(E53)</f>
        <v>15</v>
      </c>
    </row>
    <row r="54" spans="2:15" ht="15" thickTop="1" thickBot="1" x14ac:dyDescent="0.6">
      <c r="B54" s="28">
        <v>8.1999999999999993</v>
      </c>
      <c r="C54" s="29" t="s">
        <v>27</v>
      </c>
      <c r="D54" s="70" t="s">
        <v>21</v>
      </c>
      <c r="E54" s="52" t="s">
        <v>28</v>
      </c>
      <c r="F54" s="64" t="s">
        <v>24</v>
      </c>
      <c r="G54" s="31" t="s">
        <v>24</v>
      </c>
      <c r="H54" s="64" t="s">
        <v>24</v>
      </c>
      <c r="I54" s="22" t="s">
        <v>24</v>
      </c>
      <c r="J54" s="60"/>
      <c r="K54" s="22" t="s">
        <v>26</v>
      </c>
      <c r="L54" s="21">
        <v>0</v>
      </c>
      <c r="M54" s="34" cm="1">
        <f t="array" ref="M54">SumNumbers(I54)+SumNumbers(G54)+SumNumbers(K54)+SumNumbers(E54)</f>
        <v>15</v>
      </c>
      <c r="O54" s="49"/>
    </row>
    <row r="55" spans="2:15" ht="15" thickTop="1" thickBot="1" x14ac:dyDescent="0.6">
      <c r="B55" s="28">
        <v>8.3000000000000007</v>
      </c>
      <c r="C55" s="29" t="s">
        <v>20</v>
      </c>
      <c r="D55" s="68" t="s">
        <v>25</v>
      </c>
      <c r="E55" s="31" t="s">
        <v>24</v>
      </c>
      <c r="F55" s="64" t="s">
        <v>24</v>
      </c>
      <c r="G55" s="31" t="s">
        <v>24</v>
      </c>
      <c r="H55" s="64" t="s">
        <v>24</v>
      </c>
      <c r="I55" s="22" t="s">
        <v>24</v>
      </c>
      <c r="J55" s="60"/>
      <c r="K55" s="22" t="s">
        <v>22</v>
      </c>
      <c r="L55" s="21">
        <v>0</v>
      </c>
      <c r="M55" s="34" cm="1">
        <f t="array" ref="M55">SumNumbers(I55)+SumNumbers(G55)+SumNumbers(K55)+SumNumbers(E55)</f>
        <v>20</v>
      </c>
    </row>
    <row r="56" spans="2:15" ht="15" thickTop="1" thickBot="1" x14ac:dyDescent="0.6">
      <c r="B56" s="15">
        <v>9</v>
      </c>
      <c r="C56" s="20" t="s">
        <v>35</v>
      </c>
      <c r="D56" s="55" t="s">
        <v>21</v>
      </c>
      <c r="E56" s="52" t="s">
        <v>28</v>
      </c>
      <c r="F56" s="30" t="s">
        <v>24</v>
      </c>
      <c r="G56" s="31" t="s">
        <v>24</v>
      </c>
      <c r="H56" s="30" t="s">
        <v>24</v>
      </c>
      <c r="I56" s="22" t="s">
        <v>24</v>
      </c>
      <c r="J56" s="60"/>
      <c r="K56" s="33" t="s">
        <v>36</v>
      </c>
      <c r="L56" s="21">
        <f>SUM(D56,F56,H56,J56)</f>
        <v>0</v>
      </c>
      <c r="M56" s="34" cm="1">
        <f t="array" ref="M56">SumNumbers(I56)+SumNumbers(G56)+SumNumbers(K56)+SumNumbers(E56)</f>
        <v>210</v>
      </c>
    </row>
    <row r="57" spans="2:15" ht="15" thickTop="1" thickBot="1" x14ac:dyDescent="0.6">
      <c r="B57" s="16">
        <v>10</v>
      </c>
      <c r="C57" s="32" t="s">
        <v>30</v>
      </c>
      <c r="D57" s="65" t="s">
        <v>21</v>
      </c>
      <c r="E57" s="67" t="s">
        <v>28</v>
      </c>
      <c r="F57" s="61" t="s">
        <v>21</v>
      </c>
      <c r="G57" s="67" t="s">
        <v>22</v>
      </c>
      <c r="H57" s="65" t="s">
        <v>21</v>
      </c>
      <c r="I57" s="66" t="s">
        <v>22</v>
      </c>
      <c r="J57" s="61"/>
      <c r="K57" s="62" t="s">
        <v>31</v>
      </c>
      <c r="L57" s="23">
        <f>SUM(D57,F57,H57,J57)</f>
        <v>0</v>
      </c>
      <c r="M57" s="35" cm="1">
        <f t="array" ref="M57">SumNumbers(I57)+SumNumbers(G57)+SumNumbers(K57)+SumNumbers(E57)</f>
        <v>135</v>
      </c>
    </row>
    <row r="58" spans="2:15" x14ac:dyDescent="0.55000000000000004">
      <c r="H58" s="63"/>
    </row>
    <row r="59" spans="2:15" ht="14.7" thickBot="1" x14ac:dyDescent="0.6">
      <c r="B59" s="3"/>
      <c r="C59" s="1"/>
      <c r="D59" s="1"/>
      <c r="E59" s="1"/>
      <c r="F59" s="1"/>
      <c r="G59" s="1"/>
      <c r="H59" s="1"/>
      <c r="I59" s="1"/>
      <c r="J59" s="1"/>
      <c r="K59" s="1"/>
      <c r="L59" s="1"/>
      <c r="M59" s="1"/>
    </row>
    <row r="60" spans="2:15" ht="14.7" thickBot="1" x14ac:dyDescent="0.6">
      <c r="B60" s="3"/>
      <c r="C60" s="1"/>
      <c r="D60" s="1"/>
      <c r="E60" s="1"/>
      <c r="F60" s="1"/>
      <c r="G60" s="1"/>
      <c r="H60" s="1"/>
      <c r="I60" s="1"/>
      <c r="J60" s="1"/>
      <c r="K60" s="26" t="s">
        <v>32</v>
      </c>
      <c r="L60" s="27">
        <f>SUM(L24:L57)</f>
        <v>0</v>
      </c>
      <c r="M60" s="5">
        <f>SUM(M24:M57)</f>
        <v>995</v>
      </c>
    </row>
    <row r="61" spans="2:15" x14ac:dyDescent="0.55000000000000004">
      <c r="B61" s="3"/>
      <c r="C61" s="1"/>
      <c r="D61" s="1"/>
      <c r="E61" s="1"/>
      <c r="F61" s="1"/>
      <c r="G61" s="1"/>
      <c r="H61" s="1"/>
      <c r="J61" s="1"/>
      <c r="K61" s="1"/>
      <c r="L61" s="1"/>
      <c r="M61" s="1"/>
    </row>
  </sheetData>
  <mergeCells count="14">
    <mergeCell ref="C17:P17"/>
    <mergeCell ref="C18:P18"/>
    <mergeCell ref="C19:P19"/>
    <mergeCell ref="C1:P1"/>
    <mergeCell ref="C7:P7"/>
    <mergeCell ref="C8:P8"/>
    <mergeCell ref="C9:P9"/>
    <mergeCell ref="D22:E22"/>
    <mergeCell ref="F22:G22"/>
    <mergeCell ref="H22:I22"/>
    <mergeCell ref="J22:K22"/>
    <mergeCell ref="D21:E21"/>
    <mergeCell ref="L22:M22"/>
    <mergeCell ref="C11:P11"/>
  </mergeCells>
  <phoneticPr fontId="3" type="noConversion"/>
  <dataValidations xWindow="632" yWindow="1808" count="10">
    <dataValidation type="list" allowBlank="1" showInputMessage="1" showErrorMessage="1" sqref="G56:G57 I56:I57 I26:I53 G24:G53" xr:uid="{0C39689F-B831-4BE8-89B2-4B0278409806}">
      <formula1>"N/A, /20, To Fill"</formula1>
    </dataValidation>
    <dataValidation type="list" allowBlank="1" showInputMessage="1" showErrorMessage="1" sqref="F56:F57 H56:H57 H24:H53 F24:F53" xr:uid="{2A32AB86-687D-4715-9C28-7CFE2AC0B3F6}">
      <formula1>"N/A, 0,5,10,15,20,To Fill"</formula1>
    </dataValidation>
    <dataValidation type="list" allowBlank="1" showInputMessage="1" showErrorMessage="1" sqref="F54:I57 E24:E57" xr:uid="{C11632DA-AEA3-41DE-B626-273D21086F12}">
      <formula1>"N/A, /10, To Fill"</formula1>
    </dataValidation>
    <dataValidation type="list" allowBlank="1" showInputMessage="1" showErrorMessage="1" sqref="I24:I25" xr:uid="{8218C817-DD88-4D9F-9DFF-79081E43D99B}">
      <formula1>"N/A, /5, /20, To Fill"</formula1>
    </dataValidation>
    <dataValidation type="list" allowBlank="1" showInputMessage="1" showErrorMessage="1" promptTitle="Level selector" prompt="Please select level" sqref="C56:C57" xr:uid="{C2744EF9-A6E2-49A3-A092-85D0D8DD2309}">
      <formula1>"Very Easy, Easy, Medium , Hard, Very Hard, To Fill"</formula1>
    </dataValidation>
    <dataValidation type="list" allowBlank="1" showInputMessage="1" showErrorMessage="1" sqref="K56:K57" xr:uid="{8A487EEA-D9B9-49AC-8F10-597A765AE934}">
      <formula1>"/5,/20,/50,/85,/200, To Fill"</formula1>
    </dataValidation>
    <dataValidation type="list" allowBlank="1" showInputMessage="1" showErrorMessage="1" promptTitle="Level selector" prompt="Please select level" sqref="C24:C57" xr:uid="{F6552190-D7DF-4264-A312-333F221B17CE}">
      <formula1>"Very Easy, Easy, Medium , Hard, To Fill"</formula1>
    </dataValidation>
    <dataValidation type="list" allowBlank="1" showInputMessage="1" showErrorMessage="1" sqref="K24:K57" xr:uid="{06E33899-5709-421E-9A70-EDFE9F944098}">
      <formula1>"/5,/20,/50,/85,To Fill"</formula1>
    </dataValidation>
    <dataValidation type="list" allowBlank="1" showInputMessage="1" showErrorMessage="1" sqref="D24:D57" xr:uid="{758E1635-32BD-42ED-82C8-F18197407C95}">
      <formula1>"N/A ,0, 10, To Fill"</formula1>
    </dataValidation>
    <dataValidation type="list" allowBlank="1" showInputMessage="1" showErrorMessage="1" sqref="J24:J57" xr:uid="{2348E3C0-537B-48C5-8B80-4259EF944101}">
      <formula1>"0,1,2,3,4,5,6,7,8,9,10,11,12,13,14,15,16,17,18,19,20,21,22,23,24,25,26,27,28,29,30,31,32,33,34,35,36,37,38,39,40,41,42,43,44,45,46,47,48,49,50,51,52,53,54,55,56,57,58,59,60,61,62,63,64,65,66,67,68,69,70,71,72,73,74,75,76,77,78,79,80,81,82,83,84,85"</formula1>
    </dataValidation>
  </dataValidations>
  <pageMargins left="0.7" right="0.7" top="0.75" bottom="0.75" header="0.3" footer="0.3"/>
  <pageSetup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E86AC7D33AA294F8B9D964DC40622B7" ma:contentTypeVersion="6" ma:contentTypeDescription="Crée un document." ma:contentTypeScope="" ma:versionID="34e7b7239551ff28c654677fc422ad74">
  <xsd:schema xmlns:xsd="http://www.w3.org/2001/XMLSchema" xmlns:xs="http://www.w3.org/2001/XMLSchema" xmlns:p="http://schemas.microsoft.com/office/2006/metadata/properties" xmlns:ns2="66ebee2b-5d1b-47f9-9a56-49d27beda89f" xmlns:ns3="9b909cd4-d7e6-430c-8db0-c06f3fc13092" targetNamespace="http://schemas.microsoft.com/office/2006/metadata/properties" ma:root="true" ma:fieldsID="dfbc4dd4549e3695a4797446c6c97b06" ns2:_="" ns3:_="">
    <xsd:import namespace="66ebee2b-5d1b-47f9-9a56-49d27beda89f"/>
    <xsd:import namespace="9b909cd4-d7e6-430c-8db0-c06f3fc13092"/>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DateTaken"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6ebee2b-5d1b-47f9-9a56-49d27beda89f" elementFormDefault="qualified">
    <xsd:import namespace="http://schemas.microsoft.com/office/2006/documentManagement/types"/>
    <xsd:import namespace="http://schemas.microsoft.com/office/infopath/2007/PartnerControls"/>
    <xsd:element name="SharedWithUsers" ma:index="8"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Partagé avec dé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9b909cd4-d7e6-430c-8db0-c06f3fc13092"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6D3743C-0B4C-4D2F-9772-CD5079C7EC7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6ebee2b-5d1b-47f9-9a56-49d27beda89f"/>
    <ds:schemaRef ds:uri="9b909cd4-d7e6-430c-8db0-c06f3fc130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FBDC7EB-D6CA-4687-9C08-6D6D5BD60B66}">
  <ds:schemaRefs>
    <ds:schemaRef ds:uri="http://purl.org/dc/terms/"/>
    <ds:schemaRef ds:uri="http://purl.org/dc/dcmitype/"/>
    <ds:schemaRef ds:uri="http://purl.org/dc/elements/1.1/"/>
    <ds:schemaRef ds:uri="66ebee2b-5d1b-47f9-9a56-49d27beda89f"/>
    <ds:schemaRef ds:uri="http://schemas.microsoft.com/office/2006/metadata/properties"/>
    <ds:schemaRef ds:uri="http://schemas.microsoft.com/office/2006/documentManagement/types"/>
    <ds:schemaRef ds:uri="http://schemas.openxmlformats.org/package/2006/metadata/core-properties"/>
    <ds:schemaRef ds:uri="9b909cd4-d7e6-430c-8db0-c06f3fc13092"/>
    <ds:schemaRef ds:uri="http://schemas.microsoft.com/office/infopath/2007/PartnerControls"/>
    <ds:schemaRef ds:uri="http://www.w3.org/XML/1998/namespace"/>
  </ds:schemaRefs>
</ds:datastoreItem>
</file>

<file path=customXml/itemProps3.xml><?xml version="1.0" encoding="utf-8"?>
<ds:datastoreItem xmlns:ds="http://schemas.openxmlformats.org/officeDocument/2006/customXml" ds:itemID="{77EBAE97-54D2-4BE8-8712-8BAEAAB45561}">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GrilleCorrection_CorrectionGrid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Lawless</dc:creator>
  <cp:keywords/>
  <dc:description/>
  <cp:lastModifiedBy>Pamella Cadotte-Lawless</cp:lastModifiedBy>
  <cp:revision/>
  <dcterms:created xsi:type="dcterms:W3CDTF">2023-04-12T18:39:19Z</dcterms:created>
  <dcterms:modified xsi:type="dcterms:W3CDTF">2023-05-19T23:10:15Z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0x010100EE86AC7D33AA294F8B9D964DC40622B7</vt:lpwstr>
  </property>
</Properties>
</file>